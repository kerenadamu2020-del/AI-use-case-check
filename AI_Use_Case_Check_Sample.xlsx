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_Here" sheetId="1" state="visible" r:id="rId3"/>
    <sheet name="1_Intake" sheetId="2" state="visible" r:id="rId4"/>
    <sheet name="2_Review" sheetId="3" state="visible" r:id="rId5"/>
    <sheet name="3_Scoring" sheetId="4" state="visible" r:id="rId6"/>
    <sheet name="4_Safeguards" sheetId="5" state="visible" r:id="rId7"/>
    <sheet name="5_Decision_Log" sheetId="6" state="visible" r:id="rId8"/>
    <sheet name="6_AI_Prompts" sheetId="7" state="visible" r:id="rId9"/>
    <sheet name="7_Worked_Exampl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<sst xmlns="http://schemas.openxmlformats.org/spreadsheetml/2006/main" count="433" uniqueCount="253">
  <si>
    <t xml:space="preserve">AI Use Case Check – Free Sample Workbook</t>
  </si>
  <si>
    <t xml:space="preserve">Learn how to review an AI tool before approving it. Educational template – use fictional or approved data only.</t>
  </si>
  <si>
    <t xml:space="preserve">Topic</t>
  </si>
  <si>
    <t xml:space="preserve">Details</t>
  </si>
  <si>
    <t xml:space="preserve">What this is</t>
  </si>
  <si>
    <t xml:space="preserve">An editable Excel workbook that walks you through reviewing one AI use case: define it, answer 24 guided questions, get a risk rating, pick safeguards, and record the decision.</t>
  </si>
  <si>
    <t xml:space="preserve">Who it is for</t>
  </si>
  <si>
    <t xml:space="preserve">Students, GRC and security beginners, and small teams who want a simple, transparent way to check an AI tool.</t>
  </si>
  <si>
    <t xml:space="preserve">How to use it</t>
  </si>
  <si>
    <t xml:space="preserve">1) Fill 1_Intake.  2) Answer the 24 questions in 2_Review (yellow cells).  3) Read the result in 3_Scoring.  4) Choose safeguards in 4_Safeguards.  5) Record the decision in 5_Decision_Log.  Tab 6 holds 8 optional AI prompts. Tab 7 shows one complete fictional case.</t>
  </si>
  <si>
    <t xml:space="preserve">Legend</t>
  </si>
  <si>
    <t xml:space="preserve">Yellow cells = you edit them. Blue-header rows = fixed labels. White cells with formulas recalculate on their own – do not overwrite them.</t>
  </si>
  <si>
    <t xml:space="preserve">How the score works</t>
  </si>
  <si>
    <t xml:space="preserve">Each question has a weight (1–3). Answer Yes = 0 gap points, Partly = 1x weight, No = 2x weight, N/A = ignored. Gap % = points earned ÷ maximum possible. Thresholds (Low / Medium / High) are editable in 3_Scoring. Any 'critical' question answered No triggers escalation.</t>
  </si>
  <si>
    <t xml:space="preserve">Important limits</t>
  </si>
  <si>
    <t xml:space="preserve">The score is a conversation starter, not a verdict. A human must make the final decision. Thresholds and weights are teaching assumptions I chose, not an official standard. This is not legal advice; check the EU AI Act, GDPR and your own policies for real use.</t>
  </si>
  <si>
    <t xml:space="preserve">Data safety</t>
  </si>
  <si>
    <t xml:space="preserve">Never paste real confidential, personal or client data into this workbook or into a public AI tool. Use fictional examples or data your organisation has approved.</t>
  </si>
  <si>
    <t xml:space="preserve">Author</t>
  </si>
  <si>
    <t xml:space="preserve">Created by Keren Adamu (GRC engineering &amp; AI risk governance). Free to use and adapt for learning; no warranty.</t>
  </si>
  <si>
    <t xml:space="preserve">1. Define the AI use case</t>
  </si>
  <si>
    <t xml:space="preserve">Fill the yellow cells. A vague request should not be approved – this page forces clarity.</t>
  </si>
  <si>
    <t xml:space="preserve">Field</t>
  </si>
  <si>
    <t xml:space="preserve">Your answer</t>
  </si>
  <si>
    <t xml:space="preserve">Why it matters</t>
  </si>
  <si>
    <t xml:space="preserve">Use case ID</t>
  </si>
  <si>
    <t xml:space="preserve">e.g. UC-001</t>
  </si>
  <si>
    <t xml:space="preserve">Lets you trace the decision later.</t>
  </si>
  <si>
    <t xml:space="preserve">Use case name</t>
  </si>
  <si>
    <t xml:space="preserve">One clear name.</t>
  </si>
  <si>
    <t xml:space="preserve">Business owner</t>
  </si>
  <si>
    <t xml:space="preserve">A named person accountable for the use case.</t>
  </si>
  <si>
    <t xml:space="preserve">Date of request</t>
  </si>
  <si>
    <t xml:space="preserve">Starts the audit trail.</t>
  </si>
  <si>
    <t xml:space="preserve">Purpose (1–2 sentences)</t>
  </si>
  <si>
    <t xml:space="preserve">If you cannot say it simply, it is not ready to approve.</t>
  </si>
  <si>
    <t xml:space="preserve">Who will use it?</t>
  </si>
  <si>
    <t xml:space="preserve">Staff, customers, public? Affects training and risk.</t>
  </si>
  <si>
    <t xml:space="preserve">AI tool and vendor</t>
  </si>
  <si>
    <t xml:space="preserve">Needed for vendor and contract checks.</t>
  </si>
  <si>
    <t xml:space="preserve">Where does it run?</t>
  </si>
  <si>
    <t xml:space="preserve">SaaS, company cloud, or on a local machine.</t>
  </si>
  <si>
    <t xml:space="preserve">What data goes in?</t>
  </si>
  <si>
    <t xml:space="preserve">Drives the data questions in tab 2.</t>
  </si>
  <si>
    <t xml:space="preserve">Does it include personal data?</t>
  </si>
  <si>
    <t xml:space="preserve">Triggers GDPR checks.</t>
  </si>
  <si>
    <t xml:space="preserve">What is the output used for?</t>
  </si>
  <si>
    <t xml:space="preserve">Draft only, or does it feed a decision?</t>
  </si>
  <si>
    <t xml:space="preserve">Who or what is affected by the output?</t>
  </si>
  <si>
    <t xml:space="preserve">Customers, staff, nobody?</t>
  </si>
  <si>
    <t xml:space="preserve">Can the AI take actions in other systems?</t>
  </si>
  <si>
    <t xml:space="preserve">Connected tools raise the risk significantly.</t>
  </si>
  <si>
    <t xml:space="preserve">Alternatives considered (non-AI)</t>
  </si>
  <si>
    <t xml:space="preserve">Is AI really needed?</t>
  </si>
  <si>
    <t xml:space="preserve">How will success be measured?</t>
  </si>
  <si>
    <t xml:space="preserve">Without a measure you cannot judge the pilot.</t>
  </si>
  <si>
    <t xml:space="preserve">2. Answer the 24 review questions</t>
  </si>
  <si>
    <t xml:space="preserve">Pick Yes / Partly / No / N/A in the yellow Answer column and note your evidence. Leave blank if not yet checked.</t>
  </si>
  <si>
    <t xml:space="preserve">#</t>
  </si>
  <si>
    <t xml:space="preserve">Category</t>
  </si>
  <si>
    <t xml:space="preserve">Review question</t>
  </si>
  <si>
    <t xml:space="preserve">Weight (1–3)</t>
  </si>
  <si>
    <t xml:space="preserve">Critical? (a 'No' escalates)</t>
  </si>
  <si>
    <t xml:space="preserve">Answer</t>
  </si>
  <si>
    <t xml:space="preserve">Evidence / notes</t>
  </si>
  <si>
    <t xml:space="preserve">Gap points</t>
  </si>
  <si>
    <t xml:space="preserve">Max points</t>
  </si>
  <si>
    <t xml:space="preserve">Purpose &amp; Scope</t>
  </si>
  <si>
    <t xml:space="preserve">Is the business purpose written down and approved by a named owner?</t>
  </si>
  <si>
    <t xml:space="preserve">No</t>
  </si>
  <si>
    <t xml:space="preserve">Is it clear what the AI will and will not be used for (out-of-scope uses listed)?</t>
  </si>
  <si>
    <t xml:space="preserve">Was a simpler non-AI option considered, with the reason for choosing AI documented?</t>
  </si>
  <si>
    <t xml:space="preserve">Is there a defined measure of what 'working well' means?</t>
  </si>
  <si>
    <t xml:space="preserve">Data</t>
  </si>
  <si>
    <t xml:space="preserve">Is every type of data the AI will receive listed and classified?</t>
  </si>
  <si>
    <t xml:space="preserve">Yes</t>
  </si>
  <si>
    <t xml:space="preserve">If personal data is involved, is there a documented lawful basis and a privacy review (GDPR)?</t>
  </si>
  <si>
    <t xml:space="preserve">Is confidential or sensitive data blocked from the AI tool unless specifically approved?</t>
  </si>
  <si>
    <t xml:space="preserve">Is it known where data is stored and processed, and for how long it is kept?</t>
  </si>
  <si>
    <t xml:space="preserve">Model &amp; Vendor</t>
  </si>
  <si>
    <t xml:space="preserve">Does the vendor contract state whether your data is used to train their models?</t>
  </si>
  <si>
    <t xml:space="preserve">Has the vendor's security been assessed (certifications, questionnaire, incident history)?</t>
  </si>
  <si>
    <t xml:space="preserve">Is there an exit plan if the vendor changes or stops the service (reversibility)?</t>
  </si>
  <si>
    <t xml:space="preserve">Are the model's known limits (errors, hallucinations, bias) documented and shared with users?</t>
  </si>
  <si>
    <t xml:space="preserve">Security</t>
  </si>
  <si>
    <t xml:space="preserve">Is access controlled (SSO/MFA, named users, least privilege)?</t>
  </si>
  <si>
    <t xml:space="preserve">Has the use case been tested for AI-specific attacks (prompt injection, data leakage, jailbreak)?</t>
  </si>
  <si>
    <t xml:space="preserve">Are prompts, outputs and usage logged so they can be reviewed after an incident?</t>
  </si>
  <si>
    <t xml:space="preserve">If the AI can connect to other systems or take actions, are its permissions limited and approved?</t>
  </si>
  <si>
    <t xml:space="preserve">Human Oversight</t>
  </si>
  <si>
    <t xml:space="preserve">Does a trained person review AI outputs before they affect customers, staff or decisions?</t>
  </si>
  <si>
    <t xml:space="preserve">Is it clear who is accountable for the final decision?</t>
  </si>
  <si>
    <t xml:space="preserve">Can people challenge or correct an AI-assisted outcome?</t>
  </si>
  <si>
    <t xml:space="preserve">Have users been trained on safe use and told when AI is involved?</t>
  </si>
  <si>
    <t xml:space="preserve">Legal &amp; Compliance</t>
  </si>
  <si>
    <t xml:space="preserve">Has the use case been classified under the EU AI Act risk categories (prohibited, high-risk, limited, minimal)?</t>
  </si>
  <si>
    <t xml:space="preserve">Are the security, acceptable-use and data protection policies updated to cover this AI use?</t>
  </si>
  <si>
    <t xml:space="preserve">Is there a review date to re-approve the use case (at least yearly, or when the tool changes)?</t>
  </si>
  <si>
    <t xml:space="preserve">Are the decision and its evidence recorded in a decision log?</t>
  </si>
  <si>
    <t xml:space="preserve">3. Result</t>
  </si>
  <si>
    <t xml:space="preserve">Calculated from tab 2. The suggested decision is a starting point – a human decides.</t>
  </si>
  <si>
    <t xml:space="preserve">Settings (edit) – Low if gap % is at most</t>
  </si>
  <si>
    <t xml:space="preserve">Assumption: teaching thresholds chosen by the author, not an official standard.</t>
  </si>
  <si>
    <t xml:space="preserve">Medium if gap % is at most (above this = High)</t>
  </si>
  <si>
    <t xml:space="preserve">Answered</t>
  </si>
  <si>
    <t xml:space="preserve">Gap %</t>
  </si>
  <si>
    <t xml:space="preserve">Rating</t>
  </si>
  <si>
    <t xml:space="preserve">OVERALL</t>
  </si>
  <si>
    <t xml:space="preserve">Critical questions answered 'No'</t>
  </si>
  <si>
    <t xml:space="preserve">Questions answered (of 24)</t>
  </si>
  <si>
    <t xml:space="preserve">Suggested decision</t>
  </si>
  <si>
    <t xml:space="preserve">Reading the result: Low = few gaps; Medium = approve only with safeguards from tab 4 and a review date; High = fix the gaps first. Any critical 'No' (data classification, personal data, confidential data, system actions, human review) needs escalation whatever the percentage.</t>
  </si>
  <si>
    <t xml:space="preserve">4. Choose safeguards</t>
  </si>
  <si>
    <t xml:space="preserve">For every gap found in tab 2, pick a safeguard, name an owner and set a date. Update Status as work progresses.</t>
  </si>
  <si>
    <t xml:space="preserve">ID</t>
  </si>
  <si>
    <t xml:space="preserve">Risk addressed</t>
  </si>
  <si>
    <t xml:space="preserve">Safeguard</t>
  </si>
  <si>
    <t xml:space="preserve">Linked question #</t>
  </si>
  <si>
    <t xml:space="preserve">Owner</t>
  </si>
  <si>
    <t xml:space="preserve">Status</t>
  </si>
  <si>
    <t xml:space="preserve">Due date</t>
  </si>
  <si>
    <t xml:space="preserve">Evidence link</t>
  </si>
  <si>
    <t xml:space="preserve">S01</t>
  </si>
  <si>
    <t xml:space="preserve">Data leakage</t>
  </si>
  <si>
    <t xml:space="preserve">Approved-data list for staff; block confidential data types with technical controls where possible</t>
  </si>
  <si>
    <t xml:space="preserve">5, 7</t>
  </si>
  <si>
    <t xml:space="preserve">Not started</t>
  </si>
  <si>
    <t xml:space="preserve">S02</t>
  </si>
  <si>
    <t xml:space="preserve">Hallucination / wrong output</t>
  </si>
  <si>
    <t xml:space="preserve">Mandatory human review before output is used; ask the tool to cite sources and check them</t>
  </si>
  <si>
    <t xml:space="preserve">12, 17</t>
  </si>
  <si>
    <t xml:space="preserve">S03</t>
  </si>
  <si>
    <t xml:space="preserve">Prompt injection</t>
  </si>
  <si>
    <t xml:space="preserve">Input and output filtering, limited tool permissions, repeat AI-specific security testing</t>
  </si>
  <si>
    <t xml:space="preserve">14, 16</t>
  </si>
  <si>
    <t xml:space="preserve">S04</t>
  </si>
  <si>
    <t xml:space="preserve">Vendor trains on your data</t>
  </si>
  <si>
    <t xml:space="preserve">Contract clause or setting: no training on company data; confirm retention period</t>
  </si>
  <si>
    <t xml:space="preserve">8, 9</t>
  </si>
  <si>
    <t xml:space="preserve">S05</t>
  </si>
  <si>
    <t xml:space="preserve">Excessive autonomy</t>
  </si>
  <si>
    <t xml:space="preserve">Least privilege for connected tools; human approval step before any action</t>
  </si>
  <si>
    <t xml:space="preserve">16</t>
  </si>
  <si>
    <t xml:space="preserve">S06</t>
  </si>
  <si>
    <t xml:space="preserve">Bias / unfair outcomes</t>
  </si>
  <si>
    <t xml:space="preserve">Test outputs on representative samples; document findings and fixes</t>
  </si>
  <si>
    <t xml:space="preserve">12, 19</t>
  </si>
  <si>
    <t xml:space="preserve">S07</t>
  </si>
  <si>
    <t xml:space="preserve">Over-reliance</t>
  </si>
  <si>
    <t xml:space="preserve">User training and a visible 'AI-assisted' label on outputs</t>
  </si>
  <si>
    <t xml:space="preserve">12, 20</t>
  </si>
  <si>
    <t xml:space="preserve">S08</t>
  </si>
  <si>
    <t xml:space="preserve">Vendor lock-in</t>
  </si>
  <si>
    <t xml:space="preserve">Keep exports of prompts and data; write a fallback manual process</t>
  </si>
  <si>
    <t xml:space="preserve">11</t>
  </si>
  <si>
    <t xml:space="preserve">S09</t>
  </si>
  <si>
    <t xml:space="preserve">Shadow AI</t>
  </si>
  <si>
    <t xml:space="preserve">Approved tools list and a simple request route so staff do not use unapproved tools</t>
  </si>
  <si>
    <t xml:space="preserve">1, 22</t>
  </si>
  <si>
    <t xml:space="preserve">S10</t>
  </si>
  <si>
    <t xml:space="preserve">No traceability</t>
  </si>
  <si>
    <t xml:space="preserve">Log prompts, outputs and usage; keep decisions in the decision log</t>
  </si>
  <si>
    <t xml:space="preserve">15, 24</t>
  </si>
  <si>
    <t xml:space="preserve">S11</t>
  </si>
  <si>
    <t xml:space="preserve">Personal data exposure</t>
  </si>
  <si>
    <t xml:space="preserve">Privacy review (DPIA where needed); data minimisation; confirm lawful basis</t>
  </si>
  <si>
    <t xml:space="preserve">6, 8</t>
  </si>
  <si>
    <t xml:space="preserve">S12</t>
  </si>
  <si>
    <t xml:space="preserve">Regulatory change</t>
  </si>
  <si>
    <t xml:space="preserve">Classify under the EU AI Act; set a review date and re-approve on tool changes</t>
  </si>
  <si>
    <t xml:space="preserve">21, 23</t>
  </si>
  <si>
    <t xml:space="preserve">Safeguard wording is generic good practice assembled by the author for teaching; adapt it to your organisation.</t>
  </si>
  <si>
    <t xml:space="preserve">5. Decision log</t>
  </si>
  <si>
    <t xml:space="preserve">One row per decision. This is the traceable record auditors ask for. Row 5 is a fictional example – overwrite or delete it.</t>
  </si>
  <si>
    <t xml:space="preserve">Date</t>
  </si>
  <si>
    <t xml:space="preserve">Use case</t>
  </si>
  <si>
    <t xml:space="preserve">Overall rating</t>
  </si>
  <si>
    <t xml:space="preserve">Decision</t>
  </si>
  <si>
    <t xml:space="preserve">Conditions</t>
  </si>
  <si>
    <t xml:space="preserve">Reviewer</t>
  </si>
  <si>
    <t xml:space="preserve">Next review date</t>
  </si>
  <si>
    <t xml:space="preserve">2026-10-16</t>
  </si>
  <si>
    <t xml:space="preserve">UC-EX-001</t>
  </si>
  <si>
    <t xml:space="preserve">Internal HR policy chatbot (fictional)</t>
  </si>
  <si>
    <t xml:space="preserve">Medium</t>
  </si>
  <si>
    <t xml:space="preserve">Approve with conditions</t>
  </si>
  <si>
    <t xml:space="preserve">Complete vendor security questionnaire; add exit plan; user training before launch; HR samples answers weekly</t>
  </si>
  <si>
    <t xml:space="preserve">(fictional reviewer)</t>
  </si>
  <si>
    <t xml:space="preserve">2027-04-16</t>
  </si>
  <si>
    <t xml:space="preserve">See 7_Worked_Example</t>
  </si>
  <si>
    <t xml:space="preserve">6. Eight optional AI prompts</t>
  </si>
  <si>
    <t xml:space="preserve">Copy into any chatbot. Use fictional or approved data only. The AI drafts; you check and decide.</t>
  </si>
  <si>
    <t xml:space="preserve">Name</t>
  </si>
  <si>
    <t xml:space="preserve">When to use</t>
  </si>
  <si>
    <t xml:space="preserve">Prompt</t>
  </si>
  <si>
    <t xml:space="preserve">Safety note</t>
  </si>
  <si>
    <t xml:space="preserve">Sharpen the request</t>
  </si>
  <si>
    <t xml:space="preserve">Start of tab 1</t>
  </si>
  <si>
    <t xml:space="preserve">You are a GRC analyst. Turn this vague request into the fields of an AI use case intake: purpose, users, data, outputs, affected people, and whether the AI can take actions. List what is missing and ask me up to 5 questions. Request: [PASTE FICTIONAL/APPROVED TEXT]</t>
  </si>
  <si>
    <t xml:space="preserve">Fictional/approved data only. Verify every claim; the AI can be wrong.</t>
  </si>
  <si>
    <t xml:space="preserve">Classify the data</t>
  </si>
  <si>
    <t xml:space="preserve">Before questions 5–8</t>
  </si>
  <si>
    <t xml:space="preserve">List every type of data in this use case. Classify each as public, internal, confidential or personal, and flag any that should never be sent to an external AI tool. Use case: [PASTE]</t>
  </si>
  <si>
    <t xml:space="preserve">Vendor questions</t>
  </si>
  <si>
    <t xml:space="preserve">Before questions 9–12</t>
  </si>
  <si>
    <t xml:space="preserve">Write 10 due-diligence questions to send to the vendor of this AI tool about training on our data, retention, location of processing, security certifications, incident history and exit options. Tool: [PASTE]</t>
  </si>
  <si>
    <t xml:space="preserve">Brainstorm AI threats</t>
  </si>
  <si>
    <t xml:space="preserve">Before question 14</t>
  </si>
  <si>
    <t xml:space="preserve">List the main threats to this AI use case: threats to the system, threats from its use, threats using the system, and legal or regulatory threats. For each give one example and one test I could run. Use case: [PASTE]</t>
  </si>
  <si>
    <t xml:space="preserve">Suggest safeguards</t>
  </si>
  <si>
    <t xml:space="preserve">After scoring</t>
  </si>
  <si>
    <t xml:space="preserve">For each gap below, suggest one practical safeguard, an owner role, and how to prove it works. Gaps: [PASTE the 'No' and 'Partly' rows]</t>
  </si>
  <si>
    <t xml:space="preserve">Management summary</t>
  </si>
  <si>
    <t xml:space="preserve">Before the decision</t>
  </si>
  <si>
    <t xml:space="preserve">Summarise this review in 150 words for a non-technical manager: purpose, rating, top 3 risks, conditions, and your recommendation. Review: [PASTE]</t>
  </si>
  <si>
    <t xml:space="preserve">Challenge my review</t>
  </si>
  <si>
    <t xml:space="preserve">Always</t>
  </si>
  <si>
    <t xml:space="preserve">Act as a sceptical auditor. Find weaknesses, missing evidence or answers that look too optimistic in this review. Do not be polite. Review: [PASTE]</t>
  </si>
  <si>
    <t xml:space="preserve">Draft the log entry</t>
  </si>
  <si>
    <t xml:space="preserve">Last step</t>
  </si>
  <si>
    <t xml:space="preserve">Draft a decision log entry with date, use case, rating, decision, conditions, reviewer and next review date, using this review: [PASTE]</t>
  </si>
  <si>
    <t xml:space="preserve">7. Worked example (fictional case)</t>
  </si>
  <si>
    <t xml:space="preserve">Fictional company 'Northwind Logistics'. All answers and notes are invented to show how the workbook is used. Change an Answer cell to see the result move.</t>
  </si>
  <si>
    <t xml:space="preserve">Case details</t>
  </si>
  <si>
    <t xml:space="preserve">Internal HR policy chatbot (UC-EX-001)</t>
  </si>
  <si>
    <t xml:space="preserve">Purpose</t>
  </si>
  <si>
    <t xml:space="preserve">Answer staff questions about leave, expenses and working hours using the HR policy documents.</t>
  </si>
  <si>
    <t xml:space="preserve">Tool / vendor</t>
  </si>
  <si>
    <t xml:space="preserve">Generic SaaS chatbot platform (fictional vendor)</t>
  </si>
  <si>
    <t xml:space="preserve">Data in</t>
  </si>
  <si>
    <t xml:space="preserve">HR policy documents; staff questions that may contain personal details.</t>
  </si>
  <si>
    <t xml:space="preserve">Output used for</t>
  </si>
  <si>
    <t xml:space="preserve">Information only – no automatic decisions about people.</t>
  </si>
  <si>
    <t xml:space="preserve">Can it take actions?</t>
  </si>
  <si>
    <t xml:space="preserve">No – read-only.</t>
  </si>
  <si>
    <t xml:space="preserve">Result</t>
  </si>
  <si>
    <t xml:space="preserve">Value</t>
  </si>
  <si>
    <t xml:space="preserve">Critical 'No' answers</t>
  </si>
  <si>
    <t xml:space="preserve">Read it like this: no critical 'No' answers and a Medium rating, so the suggested decision is 'Approve with conditions' – the conditions are the 'Partly' and 'No' rows, handled with safeguards from tab 4.</t>
  </si>
  <si>
    <t xml:space="preserve">Partly</t>
  </si>
  <si>
    <t xml:space="preserve">Chatbot is simpler to run than updating a wiki search, but alternatives were only briefly compared.</t>
  </si>
  <si>
    <t xml:space="preserve">Staff told not to type salaries or health data; no technical block yet.</t>
  </si>
  <si>
    <t xml:space="preserve">Vendor says data is not used for training by default, but contract wording is unconfirmed.</t>
  </si>
  <si>
    <t xml:space="preserve">Vendor security questionnaire sent, answers pending.</t>
  </si>
  <si>
    <t xml:space="preserve">No exit plan; knowledge base is held only inside the vendor tool.</t>
  </si>
  <si>
    <t xml:space="preserve">Limits listed internally but not shown to users.</t>
  </si>
  <si>
    <t xml:space="preserve">Basic prompt-injection test done once; no repeat plan.</t>
  </si>
  <si>
    <t xml:space="preserve">N/A</t>
  </si>
  <si>
    <t xml:space="preserve">Chatbot is read-only and cannot act in other systems.</t>
  </si>
  <si>
    <t xml:space="preserve">HR reviews a weekly sample, not every answer.</t>
  </si>
  <si>
    <t xml:space="preserve">Users can email HR but no formal challenge route.</t>
  </si>
  <si>
    <t xml:space="preserve">Short intro sent; no training session yet.</t>
  </si>
  <si>
    <t xml:space="preserve">Acceptable-use policy mentions AI generally; not yet specific.</t>
  </si>
</sst>
</file>

<file path=xl/styles.xml><?xml version="1.0" encoding="utf-8"?>
<styleSheet xmlns="http://schemas.openxmlformats.org/spreadsheetml/2006/main">
  <numFmts count="4">
    <numFmt numFmtId="164" formatCode="General"/>
    <numFmt numFmtId="165" formatCode="0%"/>
    <numFmt numFmtId="166" formatCode="General"/>
    <numFmt numFmtId="167"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b val="true"/>
      <sz val="10"/>
      <color rgb="FF0000FF"/>
      <name val="Arial"/>
      <family val="0"/>
      <charset val="1"/>
    </font>
    <font>
      <i val="true"/>
      <sz val="10"/>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7" fontId="8"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23.85" hidden="false" customHeight="false" outlineLevel="0" collapsed="false">
      <c r="A5" s="4" t="s">
        <v>4</v>
      </c>
      <c r="B5" s="5" t="s">
        <v>5</v>
      </c>
    </row>
    <row r="6" customFormat="false" ht="15" hidden="false" customHeight="false" outlineLevel="0" collapsed="false">
      <c r="A6" s="4" t="s">
        <v>6</v>
      </c>
      <c r="B6" s="5" t="s">
        <v>7</v>
      </c>
    </row>
    <row r="7" customFormat="false" ht="23.85" hidden="false" customHeight="false" outlineLevel="0" collapsed="false">
      <c r="A7" s="4" t="s">
        <v>8</v>
      </c>
      <c r="B7" s="5" t="s">
        <v>9</v>
      </c>
    </row>
    <row r="8" customFormat="false" ht="15" hidden="false" customHeight="false" outlineLevel="0" collapsed="false">
      <c r="A8" s="4" t="s">
        <v>10</v>
      </c>
      <c r="B8" s="5" t="s">
        <v>11</v>
      </c>
    </row>
    <row r="9" customFormat="false" ht="35.05" hidden="false" customHeight="false" outlineLevel="0" collapsed="false">
      <c r="A9" s="4" t="s">
        <v>12</v>
      </c>
      <c r="B9" s="5" t="s">
        <v>13</v>
      </c>
    </row>
    <row r="10" customFormat="false" ht="23.85" hidden="false" customHeight="false" outlineLevel="0" collapsed="false">
      <c r="A10" s="4" t="s">
        <v>14</v>
      </c>
      <c r="B10" s="5" t="s">
        <v>15</v>
      </c>
    </row>
    <row r="11" customFormat="false" ht="23.85" hidden="false" customHeight="false" outlineLevel="0" collapsed="false">
      <c r="A11" s="4" t="s">
        <v>16</v>
      </c>
      <c r="B11" s="5" t="s">
        <v>17</v>
      </c>
    </row>
    <row r="12" customFormat="false" ht="15" hidden="false" customHeight="false" outlineLevel="0" collapsed="false">
      <c r="A12" s="4" t="s">
        <v>18</v>
      </c>
      <c r="B12"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60"/>
  </cols>
  <sheetData>
    <row r="1" customFormat="false" ht="17.35" hidden="false" customHeight="false" outlineLevel="0" collapsed="false">
      <c r="A1" s="1" t="s">
        <v>20</v>
      </c>
    </row>
    <row r="2" customFormat="false" ht="15" hidden="false" customHeight="false" outlineLevel="0" collapsed="false">
      <c r="A2" s="2" t="s">
        <v>21</v>
      </c>
    </row>
    <row r="4" customFormat="false" ht="15" hidden="false" customHeight="false" outlineLevel="0" collapsed="false">
      <c r="A4" s="3" t="s">
        <v>22</v>
      </c>
      <c r="B4" s="3" t="s">
        <v>23</v>
      </c>
      <c r="C4" s="3" t="s">
        <v>24</v>
      </c>
    </row>
    <row r="5" customFormat="false" ht="15" hidden="false" customHeight="false" outlineLevel="0" collapsed="false">
      <c r="A5" s="4" t="s">
        <v>25</v>
      </c>
      <c r="B5" s="6" t="s">
        <v>26</v>
      </c>
      <c r="C5" s="5" t="s">
        <v>27</v>
      </c>
    </row>
    <row r="6" customFormat="false" ht="15" hidden="false" customHeight="false" outlineLevel="0" collapsed="false">
      <c r="A6" s="4" t="s">
        <v>28</v>
      </c>
      <c r="B6" s="6"/>
      <c r="C6" s="5" t="s">
        <v>29</v>
      </c>
    </row>
    <row r="7" customFormat="false" ht="15" hidden="false" customHeight="false" outlineLevel="0" collapsed="false">
      <c r="A7" s="4" t="s">
        <v>30</v>
      </c>
      <c r="B7" s="6"/>
      <c r="C7" s="5" t="s">
        <v>31</v>
      </c>
    </row>
    <row r="8" customFormat="false" ht="15" hidden="false" customHeight="false" outlineLevel="0" collapsed="false">
      <c r="A8" s="4" t="s">
        <v>32</v>
      </c>
      <c r="B8" s="6"/>
      <c r="C8" s="5" t="s">
        <v>33</v>
      </c>
    </row>
    <row r="9" customFormat="false" ht="15" hidden="false" customHeight="false" outlineLevel="0" collapsed="false">
      <c r="A9" s="4" t="s">
        <v>34</v>
      </c>
      <c r="B9" s="6"/>
      <c r="C9" s="5" t="s">
        <v>35</v>
      </c>
    </row>
    <row r="10" customFormat="false" ht="15" hidden="false" customHeight="false" outlineLevel="0" collapsed="false">
      <c r="A10" s="4" t="s">
        <v>36</v>
      </c>
      <c r="B10" s="6"/>
      <c r="C10" s="5" t="s">
        <v>37</v>
      </c>
    </row>
    <row r="11" customFormat="false" ht="15" hidden="false" customHeight="false" outlineLevel="0" collapsed="false">
      <c r="A11" s="4" t="s">
        <v>38</v>
      </c>
      <c r="B11" s="6"/>
      <c r="C11" s="5" t="s">
        <v>39</v>
      </c>
    </row>
    <row r="12" customFormat="false" ht="15" hidden="false" customHeight="false" outlineLevel="0" collapsed="false">
      <c r="A12" s="4" t="s">
        <v>40</v>
      </c>
      <c r="B12" s="6"/>
      <c r="C12" s="5" t="s">
        <v>41</v>
      </c>
    </row>
    <row r="13" customFormat="false" ht="15" hidden="false" customHeight="false" outlineLevel="0" collapsed="false">
      <c r="A13" s="4" t="s">
        <v>42</v>
      </c>
      <c r="B13" s="6"/>
      <c r="C13" s="5" t="s">
        <v>43</v>
      </c>
    </row>
    <row r="14" customFormat="false" ht="15" hidden="false" customHeight="false" outlineLevel="0" collapsed="false">
      <c r="A14" s="4" t="s">
        <v>44</v>
      </c>
      <c r="B14" s="6"/>
      <c r="C14" s="5" t="s">
        <v>45</v>
      </c>
    </row>
    <row r="15" customFormat="false" ht="15" hidden="false" customHeight="false" outlineLevel="0" collapsed="false">
      <c r="A15" s="4" t="s">
        <v>46</v>
      </c>
      <c r="B15" s="6"/>
      <c r="C15" s="5" t="s">
        <v>47</v>
      </c>
    </row>
    <row r="16" customFormat="false" ht="15" hidden="false" customHeight="false" outlineLevel="0" collapsed="false">
      <c r="A16" s="4" t="s">
        <v>48</v>
      </c>
      <c r="B16" s="6"/>
      <c r="C16" s="5" t="s">
        <v>49</v>
      </c>
    </row>
    <row r="17" customFormat="false" ht="15" hidden="false" customHeight="false" outlineLevel="0" collapsed="false">
      <c r="A17" s="4" t="s">
        <v>50</v>
      </c>
      <c r="B17" s="6"/>
      <c r="C17" s="5" t="s">
        <v>51</v>
      </c>
    </row>
    <row r="18" customFormat="false" ht="15" hidden="false" customHeight="false" outlineLevel="0" collapsed="false">
      <c r="A18" s="4" t="s">
        <v>52</v>
      </c>
      <c r="B18" s="6"/>
      <c r="C18" s="5" t="s">
        <v>53</v>
      </c>
    </row>
    <row r="19" customFormat="false" ht="15" hidden="false" customHeight="false" outlineLevel="0" collapsed="false">
      <c r="A19" s="4" t="s">
        <v>54</v>
      </c>
      <c r="B19" s="6"/>
      <c r="C19" s="5"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70"/>
    <col collapsed="false" customWidth="true" hidden="false" outlineLevel="0" max="4" min="4" style="0" width="11"/>
    <col collapsed="false" customWidth="true" hidden="false" outlineLevel="0" max="5" min="5" style="0" width="16"/>
    <col collapsed="false" customWidth="true" hidden="false" outlineLevel="0" max="6" min="6" style="0" width="12"/>
    <col collapsed="false" customWidth="true" hidden="false" outlineLevel="0" max="7" min="7" style="0" width="50"/>
    <col collapsed="false" customWidth="true" hidden="false" outlineLevel="0" max="9" min="8" style="0" width="11"/>
  </cols>
  <sheetData>
    <row r="1" customFormat="false" ht="17.35" hidden="false" customHeight="false" outlineLevel="0" collapsed="false">
      <c r="A1" s="1" t="s">
        <v>56</v>
      </c>
    </row>
    <row r="2" customFormat="false" ht="15" hidden="false" customHeight="false" outlineLevel="0" collapsed="false">
      <c r="A2" s="2" t="s">
        <v>57</v>
      </c>
    </row>
    <row r="4" customFormat="false" ht="23.85" hidden="false" customHeight="false" outlineLevel="0" collapsed="false">
      <c r="A4" s="3" t="s">
        <v>58</v>
      </c>
      <c r="B4" s="3" t="s">
        <v>59</v>
      </c>
      <c r="C4" s="3" t="s">
        <v>60</v>
      </c>
      <c r="D4" s="3" t="s">
        <v>61</v>
      </c>
      <c r="E4" s="3" t="s">
        <v>62</v>
      </c>
      <c r="F4" s="3" t="s">
        <v>63</v>
      </c>
      <c r="G4" s="3" t="s">
        <v>64</v>
      </c>
      <c r="H4" s="3" t="s">
        <v>65</v>
      </c>
      <c r="I4" s="3" t="s">
        <v>66</v>
      </c>
    </row>
    <row r="5" customFormat="false" ht="15" hidden="false" customHeight="false" outlineLevel="0" collapsed="false">
      <c r="A5" s="5" t="n">
        <v>1</v>
      </c>
      <c r="B5" s="5" t="s">
        <v>67</v>
      </c>
      <c r="C5" s="5" t="s">
        <v>68</v>
      </c>
      <c r="D5" s="5" t="n">
        <v>2</v>
      </c>
      <c r="E5" s="5" t="s">
        <v>69</v>
      </c>
      <c r="F5" s="6"/>
      <c r="G5" s="6"/>
      <c r="H5" s="5" t="str">
        <f aca="false">IF(F5="","",D5*IF(F5="Yes",0,IF(F5="Partly",1,IF(F5="No",2,0))))</f>
        <v/>
      </c>
      <c r="I5" s="5" t="n">
        <f aca="false">IF(OR(F5="",F5="N/A"),0,D5*2)</f>
        <v>0</v>
      </c>
    </row>
    <row r="6" customFormat="false" ht="15" hidden="false" customHeight="false" outlineLevel="0" collapsed="false">
      <c r="A6" s="5" t="n">
        <v>2</v>
      </c>
      <c r="B6" s="5" t="s">
        <v>67</v>
      </c>
      <c r="C6" s="5" t="s">
        <v>70</v>
      </c>
      <c r="D6" s="5" t="n">
        <v>1</v>
      </c>
      <c r="E6" s="5" t="s">
        <v>69</v>
      </c>
      <c r="F6" s="6"/>
      <c r="G6" s="6"/>
      <c r="H6" s="5" t="str">
        <f aca="false">IF(F6="","",D6*IF(F6="Yes",0,IF(F6="Partly",1,IF(F6="No",2,0))))</f>
        <v/>
      </c>
      <c r="I6" s="5" t="n">
        <f aca="false">IF(OR(F6="",F6="N/A"),0,D6*2)</f>
        <v>0</v>
      </c>
    </row>
    <row r="7" customFormat="false" ht="15" hidden="false" customHeight="false" outlineLevel="0" collapsed="false">
      <c r="A7" s="5" t="n">
        <v>3</v>
      </c>
      <c r="B7" s="5" t="s">
        <v>67</v>
      </c>
      <c r="C7" s="5" t="s">
        <v>71</v>
      </c>
      <c r="D7" s="5" t="n">
        <v>1</v>
      </c>
      <c r="E7" s="5" t="s">
        <v>69</v>
      </c>
      <c r="F7" s="6"/>
      <c r="G7" s="6"/>
      <c r="H7" s="5" t="str">
        <f aca="false">IF(F7="","",D7*IF(F7="Yes",0,IF(F7="Partly",1,IF(F7="No",2,0))))</f>
        <v/>
      </c>
      <c r="I7" s="5" t="n">
        <f aca="false">IF(OR(F7="",F7="N/A"),0,D7*2)</f>
        <v>0</v>
      </c>
    </row>
    <row r="8" customFormat="false" ht="15" hidden="false" customHeight="false" outlineLevel="0" collapsed="false">
      <c r="A8" s="5" t="n">
        <v>4</v>
      </c>
      <c r="B8" s="5" t="s">
        <v>67</v>
      </c>
      <c r="C8" s="5" t="s">
        <v>72</v>
      </c>
      <c r="D8" s="5" t="n">
        <v>1</v>
      </c>
      <c r="E8" s="5" t="s">
        <v>69</v>
      </c>
      <c r="F8" s="6"/>
      <c r="G8" s="6"/>
      <c r="H8" s="5" t="str">
        <f aca="false">IF(F8="","",D8*IF(F8="Yes",0,IF(F8="Partly",1,IF(F8="No",2,0))))</f>
        <v/>
      </c>
      <c r="I8" s="5" t="n">
        <f aca="false">IF(OR(F8="",F8="N/A"),0,D8*2)</f>
        <v>0</v>
      </c>
    </row>
    <row r="9" customFormat="false" ht="15" hidden="false" customHeight="false" outlineLevel="0" collapsed="false">
      <c r="A9" s="5" t="n">
        <v>5</v>
      </c>
      <c r="B9" s="5" t="s">
        <v>73</v>
      </c>
      <c r="C9" s="5" t="s">
        <v>74</v>
      </c>
      <c r="D9" s="5" t="n">
        <v>3</v>
      </c>
      <c r="E9" s="5" t="s">
        <v>75</v>
      </c>
      <c r="F9" s="6"/>
      <c r="G9" s="6"/>
      <c r="H9" s="5" t="str">
        <f aca="false">IF(F9="","",D9*IF(F9="Yes",0,IF(F9="Partly",1,IF(F9="No",2,0))))</f>
        <v/>
      </c>
      <c r="I9" s="5" t="n">
        <f aca="false">IF(OR(F9="",F9="N/A"),0,D9*2)</f>
        <v>0</v>
      </c>
    </row>
    <row r="10" customFormat="false" ht="23.85" hidden="false" customHeight="false" outlineLevel="0" collapsed="false">
      <c r="A10" s="5" t="n">
        <v>6</v>
      </c>
      <c r="B10" s="5" t="s">
        <v>73</v>
      </c>
      <c r="C10" s="5" t="s">
        <v>76</v>
      </c>
      <c r="D10" s="5" t="n">
        <v>3</v>
      </c>
      <c r="E10" s="5" t="s">
        <v>75</v>
      </c>
      <c r="F10" s="6"/>
      <c r="G10" s="6"/>
      <c r="H10" s="5" t="str">
        <f aca="false">IF(F10="","",D10*IF(F10="Yes",0,IF(F10="Partly",1,IF(F10="No",2,0))))</f>
        <v/>
      </c>
      <c r="I10" s="5" t="n">
        <f aca="false">IF(OR(F10="",F10="N/A"),0,D10*2)</f>
        <v>0</v>
      </c>
    </row>
    <row r="11" customFormat="false" ht="15" hidden="false" customHeight="false" outlineLevel="0" collapsed="false">
      <c r="A11" s="5" t="n">
        <v>7</v>
      </c>
      <c r="B11" s="5" t="s">
        <v>73</v>
      </c>
      <c r="C11" s="5" t="s">
        <v>77</v>
      </c>
      <c r="D11" s="5" t="n">
        <v>3</v>
      </c>
      <c r="E11" s="5" t="s">
        <v>75</v>
      </c>
      <c r="F11" s="6"/>
      <c r="G11" s="6"/>
      <c r="H11" s="5" t="str">
        <f aca="false">IF(F11="","",D11*IF(F11="Yes",0,IF(F11="Partly",1,IF(F11="No",2,0))))</f>
        <v/>
      </c>
      <c r="I11" s="5" t="n">
        <f aca="false">IF(OR(F11="",F11="N/A"),0,D11*2)</f>
        <v>0</v>
      </c>
    </row>
    <row r="12" customFormat="false" ht="15" hidden="false" customHeight="false" outlineLevel="0" collapsed="false">
      <c r="A12" s="5" t="n">
        <v>8</v>
      </c>
      <c r="B12" s="5" t="s">
        <v>73</v>
      </c>
      <c r="C12" s="5" t="s">
        <v>78</v>
      </c>
      <c r="D12" s="5" t="n">
        <v>2</v>
      </c>
      <c r="E12" s="5" t="s">
        <v>69</v>
      </c>
      <c r="F12" s="6"/>
      <c r="G12" s="6"/>
      <c r="H12" s="5" t="str">
        <f aca="false">IF(F12="","",D12*IF(F12="Yes",0,IF(F12="Partly",1,IF(F12="No",2,0))))</f>
        <v/>
      </c>
      <c r="I12" s="5" t="n">
        <f aca="false">IF(OR(F12="",F12="N/A"),0,D12*2)</f>
        <v>0</v>
      </c>
    </row>
    <row r="13" customFormat="false" ht="15" hidden="false" customHeight="false" outlineLevel="0" collapsed="false">
      <c r="A13" s="5" t="n">
        <v>9</v>
      </c>
      <c r="B13" s="5" t="s">
        <v>79</v>
      </c>
      <c r="C13" s="5" t="s">
        <v>80</v>
      </c>
      <c r="D13" s="5" t="n">
        <v>3</v>
      </c>
      <c r="E13" s="5" t="s">
        <v>69</v>
      </c>
      <c r="F13" s="6"/>
      <c r="G13" s="6"/>
      <c r="H13" s="5" t="str">
        <f aca="false">IF(F13="","",D13*IF(F13="Yes",0,IF(F13="Partly",1,IF(F13="No",2,0))))</f>
        <v/>
      </c>
      <c r="I13" s="5" t="n">
        <f aca="false">IF(OR(F13="",F13="N/A"),0,D13*2)</f>
        <v>0</v>
      </c>
    </row>
    <row r="14" customFormat="false" ht="23.85" hidden="false" customHeight="false" outlineLevel="0" collapsed="false">
      <c r="A14" s="5" t="n">
        <v>10</v>
      </c>
      <c r="B14" s="5" t="s">
        <v>79</v>
      </c>
      <c r="C14" s="5" t="s">
        <v>81</v>
      </c>
      <c r="D14" s="5" t="n">
        <v>2</v>
      </c>
      <c r="E14" s="5" t="s">
        <v>69</v>
      </c>
      <c r="F14" s="6"/>
      <c r="G14" s="6"/>
      <c r="H14" s="5" t="str">
        <f aca="false">IF(F14="","",D14*IF(F14="Yes",0,IF(F14="Partly",1,IF(F14="No",2,0))))</f>
        <v/>
      </c>
      <c r="I14" s="5" t="n">
        <f aca="false">IF(OR(F14="",F14="N/A"),0,D14*2)</f>
        <v>0</v>
      </c>
    </row>
    <row r="15" customFormat="false" ht="15" hidden="false" customHeight="false" outlineLevel="0" collapsed="false">
      <c r="A15" s="5" t="n">
        <v>11</v>
      </c>
      <c r="B15" s="5" t="s">
        <v>79</v>
      </c>
      <c r="C15" s="5" t="s">
        <v>82</v>
      </c>
      <c r="D15" s="5" t="n">
        <v>2</v>
      </c>
      <c r="E15" s="5" t="s">
        <v>69</v>
      </c>
      <c r="F15" s="6"/>
      <c r="G15" s="6"/>
      <c r="H15" s="5" t="str">
        <f aca="false">IF(F15="","",D15*IF(F15="Yes",0,IF(F15="Partly",1,IF(F15="No",2,0))))</f>
        <v/>
      </c>
      <c r="I15" s="5" t="n">
        <f aca="false">IF(OR(F15="",F15="N/A"),0,D15*2)</f>
        <v>0</v>
      </c>
    </row>
    <row r="16" customFormat="false" ht="23.85" hidden="false" customHeight="false" outlineLevel="0" collapsed="false">
      <c r="A16" s="5" t="n">
        <v>12</v>
      </c>
      <c r="B16" s="5" t="s">
        <v>79</v>
      </c>
      <c r="C16" s="5" t="s">
        <v>83</v>
      </c>
      <c r="D16" s="5" t="n">
        <v>2</v>
      </c>
      <c r="E16" s="5" t="s">
        <v>69</v>
      </c>
      <c r="F16" s="6"/>
      <c r="G16" s="6"/>
      <c r="H16" s="5" t="str">
        <f aca="false">IF(F16="","",D16*IF(F16="Yes",0,IF(F16="Partly",1,IF(F16="No",2,0))))</f>
        <v/>
      </c>
      <c r="I16" s="5" t="n">
        <f aca="false">IF(OR(F16="",F16="N/A"),0,D16*2)</f>
        <v>0</v>
      </c>
    </row>
    <row r="17" customFormat="false" ht="15" hidden="false" customHeight="false" outlineLevel="0" collapsed="false">
      <c r="A17" s="5" t="n">
        <v>13</v>
      </c>
      <c r="B17" s="5" t="s">
        <v>84</v>
      </c>
      <c r="C17" s="5" t="s">
        <v>85</v>
      </c>
      <c r="D17" s="5" t="n">
        <v>2</v>
      </c>
      <c r="E17" s="5" t="s">
        <v>69</v>
      </c>
      <c r="F17" s="6"/>
      <c r="G17" s="6"/>
      <c r="H17" s="5" t="str">
        <f aca="false">IF(F17="","",D17*IF(F17="Yes",0,IF(F17="Partly",1,IF(F17="No",2,0))))</f>
        <v/>
      </c>
      <c r="I17" s="5" t="n">
        <f aca="false">IF(OR(F17="",F17="N/A"),0,D17*2)</f>
        <v>0</v>
      </c>
    </row>
    <row r="18" customFormat="false" ht="23.85" hidden="false" customHeight="false" outlineLevel="0" collapsed="false">
      <c r="A18" s="5" t="n">
        <v>14</v>
      </c>
      <c r="B18" s="5" t="s">
        <v>84</v>
      </c>
      <c r="C18" s="5" t="s">
        <v>86</v>
      </c>
      <c r="D18" s="5" t="n">
        <v>3</v>
      </c>
      <c r="E18" s="5" t="s">
        <v>69</v>
      </c>
      <c r="F18" s="6"/>
      <c r="G18" s="6"/>
      <c r="H18" s="5" t="str">
        <f aca="false">IF(F18="","",D18*IF(F18="Yes",0,IF(F18="Partly",1,IF(F18="No",2,0))))</f>
        <v/>
      </c>
      <c r="I18" s="5" t="n">
        <f aca="false">IF(OR(F18="",F18="N/A"),0,D18*2)</f>
        <v>0</v>
      </c>
    </row>
    <row r="19" customFormat="false" ht="15" hidden="false" customHeight="false" outlineLevel="0" collapsed="false">
      <c r="A19" s="5" t="n">
        <v>15</v>
      </c>
      <c r="B19" s="5" t="s">
        <v>84</v>
      </c>
      <c r="C19" s="5" t="s">
        <v>87</v>
      </c>
      <c r="D19" s="5" t="n">
        <v>2</v>
      </c>
      <c r="E19" s="5" t="s">
        <v>69</v>
      </c>
      <c r="F19" s="6"/>
      <c r="G19" s="6"/>
      <c r="H19" s="5" t="str">
        <f aca="false">IF(F19="","",D19*IF(F19="Yes",0,IF(F19="Partly",1,IF(F19="No",2,0))))</f>
        <v/>
      </c>
      <c r="I19" s="5" t="n">
        <f aca="false">IF(OR(F19="",F19="N/A"),0,D19*2)</f>
        <v>0</v>
      </c>
    </row>
    <row r="20" customFormat="false" ht="23.85" hidden="false" customHeight="false" outlineLevel="0" collapsed="false">
      <c r="A20" s="5" t="n">
        <v>16</v>
      </c>
      <c r="B20" s="5" t="s">
        <v>84</v>
      </c>
      <c r="C20" s="5" t="s">
        <v>88</v>
      </c>
      <c r="D20" s="5" t="n">
        <v>3</v>
      </c>
      <c r="E20" s="5" t="s">
        <v>75</v>
      </c>
      <c r="F20" s="6"/>
      <c r="G20" s="6"/>
      <c r="H20" s="5" t="str">
        <f aca="false">IF(F20="","",D20*IF(F20="Yes",0,IF(F20="Partly",1,IF(F20="No",2,0))))</f>
        <v/>
      </c>
      <c r="I20" s="5" t="n">
        <f aca="false">IF(OR(F20="",F20="N/A"),0,D20*2)</f>
        <v>0</v>
      </c>
    </row>
    <row r="21" customFormat="false" ht="23.85" hidden="false" customHeight="false" outlineLevel="0" collapsed="false">
      <c r="A21" s="5" t="n">
        <v>17</v>
      </c>
      <c r="B21" s="5" t="s">
        <v>89</v>
      </c>
      <c r="C21" s="5" t="s">
        <v>90</v>
      </c>
      <c r="D21" s="5" t="n">
        <v>3</v>
      </c>
      <c r="E21" s="5" t="s">
        <v>75</v>
      </c>
      <c r="F21" s="6"/>
      <c r="G21" s="6"/>
      <c r="H21" s="5" t="str">
        <f aca="false">IF(F21="","",D21*IF(F21="Yes",0,IF(F21="Partly",1,IF(F21="No",2,0))))</f>
        <v/>
      </c>
      <c r="I21" s="5" t="n">
        <f aca="false">IF(OR(F21="",F21="N/A"),0,D21*2)</f>
        <v>0</v>
      </c>
    </row>
    <row r="22" customFormat="false" ht="15" hidden="false" customHeight="false" outlineLevel="0" collapsed="false">
      <c r="A22" s="5" t="n">
        <v>18</v>
      </c>
      <c r="B22" s="5" t="s">
        <v>89</v>
      </c>
      <c r="C22" s="5" t="s">
        <v>91</v>
      </c>
      <c r="D22" s="5" t="n">
        <v>2</v>
      </c>
      <c r="E22" s="5" t="s">
        <v>69</v>
      </c>
      <c r="F22" s="6"/>
      <c r="G22" s="6"/>
      <c r="H22" s="5" t="str">
        <f aca="false">IF(F22="","",D22*IF(F22="Yes",0,IF(F22="Partly",1,IF(F22="No",2,0))))</f>
        <v/>
      </c>
      <c r="I22" s="5" t="n">
        <f aca="false">IF(OR(F22="",F22="N/A"),0,D22*2)</f>
        <v>0</v>
      </c>
    </row>
    <row r="23" customFormat="false" ht="15" hidden="false" customHeight="false" outlineLevel="0" collapsed="false">
      <c r="A23" s="5" t="n">
        <v>19</v>
      </c>
      <c r="B23" s="5" t="s">
        <v>89</v>
      </c>
      <c r="C23" s="5" t="s">
        <v>92</v>
      </c>
      <c r="D23" s="5" t="n">
        <v>1</v>
      </c>
      <c r="E23" s="5" t="s">
        <v>69</v>
      </c>
      <c r="F23" s="6"/>
      <c r="G23" s="6"/>
      <c r="H23" s="5" t="str">
        <f aca="false">IF(F23="","",D23*IF(F23="Yes",0,IF(F23="Partly",1,IF(F23="No",2,0))))</f>
        <v/>
      </c>
      <c r="I23" s="5" t="n">
        <f aca="false">IF(OR(F23="",F23="N/A"),0,D23*2)</f>
        <v>0</v>
      </c>
    </row>
    <row r="24" customFormat="false" ht="15" hidden="false" customHeight="false" outlineLevel="0" collapsed="false">
      <c r="A24" s="5" t="n">
        <v>20</v>
      </c>
      <c r="B24" s="5" t="s">
        <v>89</v>
      </c>
      <c r="C24" s="5" t="s">
        <v>93</v>
      </c>
      <c r="D24" s="5" t="n">
        <v>2</v>
      </c>
      <c r="E24" s="5" t="s">
        <v>69</v>
      </c>
      <c r="F24" s="6"/>
      <c r="G24" s="6"/>
      <c r="H24" s="5" t="str">
        <f aca="false">IF(F24="","",D24*IF(F24="Yes",0,IF(F24="Partly",1,IF(F24="No",2,0))))</f>
        <v/>
      </c>
      <c r="I24" s="5" t="n">
        <f aca="false">IF(OR(F24="",F24="N/A"),0,D24*2)</f>
        <v>0</v>
      </c>
    </row>
    <row r="25" customFormat="false" ht="23.85" hidden="false" customHeight="false" outlineLevel="0" collapsed="false">
      <c r="A25" s="5" t="n">
        <v>21</v>
      </c>
      <c r="B25" s="5" t="s">
        <v>94</v>
      </c>
      <c r="C25" s="5" t="s">
        <v>95</v>
      </c>
      <c r="D25" s="5" t="n">
        <v>3</v>
      </c>
      <c r="E25" s="5" t="s">
        <v>69</v>
      </c>
      <c r="F25" s="6"/>
      <c r="G25" s="6"/>
      <c r="H25" s="5" t="str">
        <f aca="false">IF(F25="","",D25*IF(F25="Yes",0,IF(F25="Partly",1,IF(F25="No",2,0))))</f>
        <v/>
      </c>
      <c r="I25" s="5" t="n">
        <f aca="false">IF(OR(F25="",F25="N/A"),0,D25*2)</f>
        <v>0</v>
      </c>
    </row>
    <row r="26" customFormat="false" ht="23.85" hidden="false" customHeight="false" outlineLevel="0" collapsed="false">
      <c r="A26" s="5" t="n">
        <v>22</v>
      </c>
      <c r="B26" s="5" t="s">
        <v>94</v>
      </c>
      <c r="C26" s="5" t="s">
        <v>96</v>
      </c>
      <c r="D26" s="5" t="n">
        <v>1</v>
      </c>
      <c r="E26" s="5" t="s">
        <v>69</v>
      </c>
      <c r="F26" s="6"/>
      <c r="G26" s="6"/>
      <c r="H26" s="5" t="str">
        <f aca="false">IF(F26="","",D26*IF(F26="Yes",0,IF(F26="Partly",1,IF(F26="No",2,0))))</f>
        <v/>
      </c>
      <c r="I26" s="5" t="n">
        <f aca="false">IF(OR(F26="",F26="N/A"),0,D26*2)</f>
        <v>0</v>
      </c>
    </row>
    <row r="27" customFormat="false" ht="23.85" hidden="false" customHeight="false" outlineLevel="0" collapsed="false">
      <c r="A27" s="5" t="n">
        <v>23</v>
      </c>
      <c r="B27" s="5" t="s">
        <v>94</v>
      </c>
      <c r="C27" s="5" t="s">
        <v>97</v>
      </c>
      <c r="D27" s="5" t="n">
        <v>2</v>
      </c>
      <c r="E27" s="5" t="s">
        <v>69</v>
      </c>
      <c r="F27" s="6"/>
      <c r="G27" s="6"/>
      <c r="H27" s="5" t="str">
        <f aca="false">IF(F27="","",D27*IF(F27="Yes",0,IF(F27="Partly",1,IF(F27="No",2,0))))</f>
        <v/>
      </c>
      <c r="I27" s="5" t="n">
        <f aca="false">IF(OR(F27="",F27="N/A"),0,D27*2)</f>
        <v>0</v>
      </c>
    </row>
    <row r="28" customFormat="false" ht="15" hidden="false" customHeight="false" outlineLevel="0" collapsed="false">
      <c r="A28" s="5" t="n">
        <v>24</v>
      </c>
      <c r="B28" s="5" t="s">
        <v>94</v>
      </c>
      <c r="C28" s="5" t="s">
        <v>98</v>
      </c>
      <c r="D28" s="5" t="n">
        <v>1</v>
      </c>
      <c r="E28" s="5" t="s">
        <v>69</v>
      </c>
      <c r="F28" s="6"/>
      <c r="G28" s="6"/>
      <c r="H28" s="5" t="str">
        <f aca="false">IF(F28="","",D28*IF(F28="Yes",0,IF(F28="Partly",1,IF(F28="No",2,0))))</f>
        <v/>
      </c>
      <c r="I28" s="5" t="n">
        <f aca="false">IF(OR(F28="",F28="N/A"),0,D28*2)</f>
        <v>0</v>
      </c>
    </row>
  </sheetData>
  <dataValidations count="1">
    <dataValidation allowBlank="true" errorStyle="stop" operator="between" showDropDown="false" showErrorMessage="false" showInputMessage="false" sqref="F5:F28" type="list">
      <formula1>"Yes,Partly,No,N/A"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6"/>
    <col collapsed="false" customWidth="true" hidden="false" outlineLevel="0" max="4" min="3" style="0" width="14"/>
    <col collapsed="false" customWidth="true" hidden="false" outlineLevel="0" max="5" min="5" style="0" width="12"/>
    <col collapsed="false" customWidth="true" hidden="false" outlineLevel="0" max="6" min="6" style="0" width="18"/>
  </cols>
  <sheetData>
    <row r="1" customFormat="false" ht="17.35"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B4" s="7" t="s">
        <v>101</v>
      </c>
      <c r="C4" s="8" t="n">
        <v>0.2</v>
      </c>
      <c r="D4" s="2" t="s">
        <v>102</v>
      </c>
    </row>
    <row r="5" customFormat="false" ht="23.85" hidden="false" customHeight="false" outlineLevel="0" collapsed="false">
      <c r="B5" s="7" t="s">
        <v>103</v>
      </c>
      <c r="C5" s="8" t="n">
        <v>0.45</v>
      </c>
    </row>
    <row r="8" customFormat="false" ht="15" hidden="false" customHeight="false" outlineLevel="0" collapsed="false">
      <c r="A8" s="3" t="s">
        <v>59</v>
      </c>
      <c r="B8" s="3" t="s">
        <v>104</v>
      </c>
      <c r="C8" s="3" t="s">
        <v>65</v>
      </c>
      <c r="D8" s="3" t="s">
        <v>66</v>
      </c>
      <c r="E8" s="3" t="s">
        <v>105</v>
      </c>
      <c r="F8" s="3" t="s">
        <v>106</v>
      </c>
    </row>
    <row r="9" customFormat="false" ht="15" hidden="false" customHeight="false" outlineLevel="0" collapsed="false">
      <c r="A9" s="9" t="s">
        <v>67</v>
      </c>
      <c r="B9" s="5" t="n">
        <f aca="false">COUNTIFS(2_Review!$B$5:$B$28,A9,2_Review!$F$5:$F$28,"&lt;&gt;")</f>
        <v>0</v>
      </c>
      <c r="C9" s="5" t="n">
        <f aca="false">SUMIFS(2_Review!$H$5:$H$28,2_Review!$B$5:$B$28,A9)</f>
        <v>0</v>
      </c>
      <c r="D9" s="5" t="n">
        <f aca="false">SUMIFS(2_Review!$I$5:$I$28,2_Review!$B$5:$B$28,A9)</f>
        <v>0</v>
      </c>
      <c r="E9" s="10" t="str">
        <f aca="false">IF(D9=0,"",C9/D9)</f>
        <v/>
      </c>
      <c r="F9" s="5" t="str">
        <f aca="false">IF(D9=0,"Not assessed",IF(C9/D9&lt;=$C$4,"Low",IF(C9/D9&lt;=$C$5,"Medium","High")))</f>
        <v>Not assessed</v>
      </c>
    </row>
    <row r="10" customFormat="false" ht="15" hidden="false" customHeight="false" outlineLevel="0" collapsed="false">
      <c r="A10" s="9" t="s">
        <v>73</v>
      </c>
      <c r="B10" s="5" t="n">
        <f aca="false">COUNTIFS(2_Review!$B$5:$B$28,A10,2_Review!$F$5:$F$28,"&lt;&gt;")</f>
        <v>0</v>
      </c>
      <c r="C10" s="5" t="n">
        <f aca="false">SUMIFS(2_Review!$H$5:$H$28,2_Review!$B$5:$B$28,A10)</f>
        <v>0</v>
      </c>
      <c r="D10" s="5" t="n">
        <f aca="false">SUMIFS(2_Review!$I$5:$I$28,2_Review!$B$5:$B$28,A10)</f>
        <v>0</v>
      </c>
      <c r="E10" s="10" t="str">
        <f aca="false">IF(D10=0,"",C10/D10)</f>
        <v/>
      </c>
      <c r="F10" s="5" t="str">
        <f aca="false">IF(D10=0,"Not assessed",IF(C10/D10&lt;=$C$4,"Low",IF(C10/D10&lt;=$C$5,"Medium","High")))</f>
        <v>Not assessed</v>
      </c>
    </row>
    <row r="11" customFormat="false" ht="15" hidden="false" customHeight="false" outlineLevel="0" collapsed="false">
      <c r="A11" s="9" t="s">
        <v>79</v>
      </c>
      <c r="B11" s="5" t="n">
        <f aca="false">COUNTIFS(2_Review!$B$5:$B$28,A11,2_Review!$F$5:$F$28,"&lt;&gt;")</f>
        <v>0</v>
      </c>
      <c r="C11" s="5" t="n">
        <f aca="false">SUMIFS(2_Review!$H$5:$H$28,2_Review!$B$5:$B$28,A11)</f>
        <v>0</v>
      </c>
      <c r="D11" s="5" t="n">
        <f aca="false">SUMIFS(2_Review!$I$5:$I$28,2_Review!$B$5:$B$28,A11)</f>
        <v>0</v>
      </c>
      <c r="E11" s="10" t="str">
        <f aca="false">IF(D11=0,"",C11/D11)</f>
        <v/>
      </c>
      <c r="F11" s="5" t="str">
        <f aca="false">IF(D11=0,"Not assessed",IF(C11/D11&lt;=$C$4,"Low",IF(C11/D11&lt;=$C$5,"Medium","High")))</f>
        <v>Not assessed</v>
      </c>
    </row>
    <row r="12" customFormat="false" ht="15" hidden="false" customHeight="false" outlineLevel="0" collapsed="false">
      <c r="A12" s="9" t="s">
        <v>84</v>
      </c>
      <c r="B12" s="5" t="n">
        <f aca="false">COUNTIFS(2_Review!$B$5:$B$28,A12,2_Review!$F$5:$F$28,"&lt;&gt;")</f>
        <v>0</v>
      </c>
      <c r="C12" s="5" t="n">
        <f aca="false">SUMIFS(2_Review!$H$5:$H$28,2_Review!$B$5:$B$28,A12)</f>
        <v>0</v>
      </c>
      <c r="D12" s="5" t="n">
        <f aca="false">SUMIFS(2_Review!$I$5:$I$28,2_Review!$B$5:$B$28,A12)</f>
        <v>0</v>
      </c>
      <c r="E12" s="10" t="str">
        <f aca="false">IF(D12=0,"",C12/D12)</f>
        <v/>
      </c>
      <c r="F12" s="5" t="str">
        <f aca="false">IF(D12=0,"Not assessed",IF(C12/D12&lt;=$C$4,"Low",IF(C12/D12&lt;=$C$5,"Medium","High")))</f>
        <v>Not assessed</v>
      </c>
    </row>
    <row r="13" customFormat="false" ht="15" hidden="false" customHeight="false" outlineLevel="0" collapsed="false">
      <c r="A13" s="9" t="s">
        <v>89</v>
      </c>
      <c r="B13" s="5" t="n">
        <f aca="false">COUNTIFS(2_Review!$B$5:$B$28,A13,2_Review!$F$5:$F$28,"&lt;&gt;")</f>
        <v>0</v>
      </c>
      <c r="C13" s="5" t="n">
        <f aca="false">SUMIFS(2_Review!$H$5:$H$28,2_Review!$B$5:$B$28,A13)</f>
        <v>0</v>
      </c>
      <c r="D13" s="5" t="n">
        <f aca="false">SUMIFS(2_Review!$I$5:$I$28,2_Review!$B$5:$B$28,A13)</f>
        <v>0</v>
      </c>
      <c r="E13" s="10" t="str">
        <f aca="false">IF(D13=0,"",C13/D13)</f>
        <v/>
      </c>
      <c r="F13" s="5" t="str">
        <f aca="false">IF(D13=0,"Not assessed",IF(C13/D13&lt;=$C$4,"Low",IF(C13/D13&lt;=$C$5,"Medium","High")))</f>
        <v>Not assessed</v>
      </c>
    </row>
    <row r="14" customFormat="false" ht="15" hidden="false" customHeight="false" outlineLevel="0" collapsed="false">
      <c r="A14" s="9" t="s">
        <v>94</v>
      </c>
      <c r="B14" s="5" t="n">
        <f aca="false">COUNTIFS(2_Review!$B$5:$B$28,A14,2_Review!$F$5:$F$28,"&lt;&gt;")</f>
        <v>0</v>
      </c>
      <c r="C14" s="5" t="n">
        <f aca="false">SUMIFS(2_Review!$H$5:$H$28,2_Review!$B$5:$B$28,A14)</f>
        <v>0</v>
      </c>
      <c r="D14" s="5" t="n">
        <f aca="false">SUMIFS(2_Review!$I$5:$I$28,2_Review!$B$5:$B$28,A14)</f>
        <v>0</v>
      </c>
      <c r="E14" s="10" t="str">
        <f aca="false">IF(D14=0,"",C14/D14)</f>
        <v/>
      </c>
      <c r="F14" s="5" t="str">
        <f aca="false">IF(D14=0,"Not assessed",IF(C14/D14&lt;=$C$4,"Low",IF(C14/D14&lt;=$C$5,"Medium","High")))</f>
        <v>Not assessed</v>
      </c>
    </row>
    <row r="15" customFormat="false" ht="15" hidden="false" customHeight="false" outlineLevel="0" collapsed="false">
      <c r="A15" s="4" t="s">
        <v>107</v>
      </c>
      <c r="B15" s="11" t="n">
        <f aca="false">SUM(B9:B14)</f>
        <v>0</v>
      </c>
      <c r="C15" s="11" t="n">
        <f aca="false">SUM(C9:C14)</f>
        <v>0</v>
      </c>
      <c r="D15" s="11" t="n">
        <f aca="false">SUM(D9:D14)</f>
        <v>0</v>
      </c>
      <c r="E15" s="12" t="str">
        <f aca="false">IF(D15=0,"",C15/D15)</f>
        <v/>
      </c>
      <c r="F15" s="4" t="str">
        <f aca="false">IF(D15=0,"Not assessed",IF(C15/D15&lt;=$C$4,"Low",IF(C15/D15&lt;=$C$5,"Medium","High")))</f>
        <v>Not assessed</v>
      </c>
    </row>
    <row r="17" customFormat="false" ht="15" hidden="false" customHeight="false" outlineLevel="0" collapsed="false">
      <c r="A17" s="4" t="s">
        <v>108</v>
      </c>
      <c r="B17" s="5" t="n">
        <f aca="false">COUNTIFS(2_Review!$E$5:$E$28,"Yes",2_Review!$F$5:$F$28,"No")</f>
        <v>0</v>
      </c>
    </row>
    <row r="18" customFormat="false" ht="15" hidden="false" customHeight="false" outlineLevel="0" collapsed="false">
      <c r="A18" s="4" t="s">
        <v>109</v>
      </c>
      <c r="B18" s="5" t="n">
        <f aca="false">B15</f>
        <v>0</v>
      </c>
    </row>
    <row r="19" customFormat="false" ht="15" hidden="false" customHeight="false" outlineLevel="0" collapsed="false">
      <c r="A19" s="4" t="s">
        <v>110</v>
      </c>
      <c r="B19" s="9" t="str">
        <f aca="false">IF(D15=0,"Answer the review questions first",IF(B17&gt;0,"Escalate to review board",IF(F15="Low","Approve",IF(F15="Medium","Approve with conditions","Do not approve yet"))))</f>
        <v>Answer the review questions first</v>
      </c>
      <c r="C19" s="9"/>
      <c r="D19" s="9"/>
      <c r="E19" s="9"/>
      <c r="F19" s="9"/>
    </row>
    <row r="21" customFormat="false" ht="45" hidden="false" customHeight="true" outlineLevel="0" collapsed="false">
      <c r="A21" s="13" t="s">
        <v>111</v>
      </c>
      <c r="B21" s="13"/>
      <c r="C21" s="13"/>
      <c r="D21" s="13"/>
      <c r="E21" s="13"/>
      <c r="F21" s="13"/>
    </row>
  </sheetData>
  <mergeCells count="2">
    <mergeCell ref="B19:F19"/>
    <mergeCell ref="A21:F21"/>
  </mergeCells>
  <conditionalFormatting sqref="F9:F15">
    <cfRule type="cellIs" priority="2" operator="equal" aboveAverage="0" equalAverage="0" bottom="0" percent="0" rank="0" text="" dxfId="0">
      <formula>"Low"</formula>
    </cfRule>
    <cfRule type="cellIs" priority="3" operator="equal" aboveAverage="0" equalAverage="0" bottom="0" percent="0" rank="0" text="" dxfId="1">
      <formula>"Medium"</formula>
    </cfRule>
    <cfRule type="cellIs" priority="4" operator="equal" aboveAverage="0" equalAverage="0" bottom="0" percent="0" rank="0" text="" dxfId="2">
      <formula>"High"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70"/>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7" min="7" style="0" width="13"/>
    <col collapsed="false" customWidth="true" hidden="false" outlineLevel="0" max="8" min="8" style="0" width="30"/>
  </cols>
  <sheetData>
    <row r="1" customFormat="false" ht="17.35" hidden="false" customHeight="false" outlineLevel="0" collapsed="false">
      <c r="A1" s="1" t="s">
        <v>112</v>
      </c>
    </row>
    <row r="2" customFormat="false" ht="15" hidden="false" customHeight="false" outlineLevel="0" collapsed="false">
      <c r="A2" s="2" t="s">
        <v>113</v>
      </c>
    </row>
    <row r="4" customFormat="false" ht="23.85" hidden="false" customHeight="false" outlineLevel="0" collapsed="false">
      <c r="A4" s="3" t="s">
        <v>114</v>
      </c>
      <c r="B4" s="3" t="s">
        <v>115</v>
      </c>
      <c r="C4" s="3" t="s">
        <v>116</v>
      </c>
      <c r="D4" s="3" t="s">
        <v>117</v>
      </c>
      <c r="E4" s="3" t="s">
        <v>118</v>
      </c>
      <c r="F4" s="3" t="s">
        <v>119</v>
      </c>
      <c r="G4" s="3" t="s">
        <v>120</v>
      </c>
      <c r="H4" s="3" t="s">
        <v>121</v>
      </c>
    </row>
    <row r="5" customFormat="false" ht="23.85" hidden="false" customHeight="false" outlineLevel="0" collapsed="false">
      <c r="A5" s="5" t="s">
        <v>122</v>
      </c>
      <c r="B5" s="5" t="s">
        <v>123</v>
      </c>
      <c r="C5" s="5" t="s">
        <v>124</v>
      </c>
      <c r="D5" s="5" t="s">
        <v>125</v>
      </c>
      <c r="E5" s="6"/>
      <c r="F5" s="6" t="s">
        <v>126</v>
      </c>
      <c r="G5" s="14"/>
      <c r="H5" s="6"/>
    </row>
    <row r="6" customFormat="false" ht="23.85" hidden="false" customHeight="false" outlineLevel="0" collapsed="false">
      <c r="A6" s="5" t="s">
        <v>127</v>
      </c>
      <c r="B6" s="5" t="s">
        <v>128</v>
      </c>
      <c r="C6" s="5" t="s">
        <v>129</v>
      </c>
      <c r="D6" s="5" t="s">
        <v>130</v>
      </c>
      <c r="E6" s="6"/>
      <c r="F6" s="6" t="s">
        <v>126</v>
      </c>
      <c r="G6" s="14"/>
      <c r="H6" s="6"/>
    </row>
    <row r="7" customFormat="false" ht="15" hidden="false" customHeight="false" outlineLevel="0" collapsed="false">
      <c r="A7" s="5" t="s">
        <v>131</v>
      </c>
      <c r="B7" s="5" t="s">
        <v>132</v>
      </c>
      <c r="C7" s="5" t="s">
        <v>133</v>
      </c>
      <c r="D7" s="5" t="s">
        <v>134</v>
      </c>
      <c r="E7" s="6"/>
      <c r="F7" s="6" t="s">
        <v>126</v>
      </c>
      <c r="G7" s="14"/>
      <c r="H7" s="6"/>
    </row>
    <row r="8" customFormat="false" ht="15" hidden="false" customHeight="false" outlineLevel="0" collapsed="false">
      <c r="A8" s="5" t="s">
        <v>135</v>
      </c>
      <c r="B8" s="5" t="s">
        <v>136</v>
      </c>
      <c r="C8" s="5" t="s">
        <v>137</v>
      </c>
      <c r="D8" s="5" t="s">
        <v>138</v>
      </c>
      <c r="E8" s="6"/>
      <c r="F8" s="6" t="s">
        <v>126</v>
      </c>
      <c r="G8" s="14"/>
      <c r="H8" s="6"/>
    </row>
    <row r="9" customFormat="false" ht="15" hidden="false" customHeight="false" outlineLevel="0" collapsed="false">
      <c r="A9" s="5" t="s">
        <v>139</v>
      </c>
      <c r="B9" s="5" t="s">
        <v>140</v>
      </c>
      <c r="C9" s="5" t="s">
        <v>141</v>
      </c>
      <c r="D9" s="5" t="s">
        <v>142</v>
      </c>
      <c r="E9" s="6"/>
      <c r="F9" s="6" t="s">
        <v>126</v>
      </c>
      <c r="G9" s="14"/>
      <c r="H9" s="6"/>
    </row>
    <row r="10" customFormat="false" ht="15" hidden="false" customHeight="false" outlineLevel="0" collapsed="false">
      <c r="A10" s="5" t="s">
        <v>143</v>
      </c>
      <c r="B10" s="5" t="s">
        <v>144</v>
      </c>
      <c r="C10" s="5" t="s">
        <v>145</v>
      </c>
      <c r="D10" s="5" t="s">
        <v>146</v>
      </c>
      <c r="E10" s="6"/>
      <c r="F10" s="6" t="s">
        <v>126</v>
      </c>
      <c r="G10" s="14"/>
      <c r="H10" s="6"/>
    </row>
    <row r="11" customFormat="false" ht="15" hidden="false" customHeight="false" outlineLevel="0" collapsed="false">
      <c r="A11" s="5" t="s">
        <v>147</v>
      </c>
      <c r="B11" s="5" t="s">
        <v>148</v>
      </c>
      <c r="C11" s="5" t="s">
        <v>149</v>
      </c>
      <c r="D11" s="5" t="s">
        <v>150</v>
      </c>
      <c r="E11" s="6"/>
      <c r="F11" s="6" t="s">
        <v>126</v>
      </c>
      <c r="G11" s="14"/>
      <c r="H11" s="6"/>
    </row>
    <row r="12" customFormat="false" ht="15" hidden="false" customHeight="false" outlineLevel="0" collapsed="false">
      <c r="A12" s="5" t="s">
        <v>151</v>
      </c>
      <c r="B12" s="5" t="s">
        <v>152</v>
      </c>
      <c r="C12" s="5" t="s">
        <v>153</v>
      </c>
      <c r="D12" s="5" t="s">
        <v>154</v>
      </c>
      <c r="E12" s="6"/>
      <c r="F12" s="6" t="s">
        <v>126</v>
      </c>
      <c r="G12" s="14"/>
      <c r="H12" s="6"/>
    </row>
    <row r="13" customFormat="false" ht="15" hidden="false" customHeight="false" outlineLevel="0" collapsed="false">
      <c r="A13" s="5" t="s">
        <v>155</v>
      </c>
      <c r="B13" s="5" t="s">
        <v>156</v>
      </c>
      <c r="C13" s="5" t="s">
        <v>157</v>
      </c>
      <c r="D13" s="5" t="s">
        <v>158</v>
      </c>
      <c r="E13" s="6"/>
      <c r="F13" s="6" t="s">
        <v>126</v>
      </c>
      <c r="G13" s="14"/>
      <c r="H13" s="6"/>
    </row>
    <row r="14" customFormat="false" ht="15" hidden="false" customHeight="false" outlineLevel="0" collapsed="false">
      <c r="A14" s="5" t="s">
        <v>159</v>
      </c>
      <c r="B14" s="5" t="s">
        <v>160</v>
      </c>
      <c r="C14" s="5" t="s">
        <v>161</v>
      </c>
      <c r="D14" s="5" t="s">
        <v>162</v>
      </c>
      <c r="E14" s="6"/>
      <c r="F14" s="6" t="s">
        <v>126</v>
      </c>
      <c r="G14" s="14"/>
      <c r="H14" s="6"/>
    </row>
    <row r="15" customFormat="false" ht="15" hidden="false" customHeight="false" outlineLevel="0" collapsed="false">
      <c r="A15" s="5" t="s">
        <v>163</v>
      </c>
      <c r="B15" s="5" t="s">
        <v>164</v>
      </c>
      <c r="C15" s="5" t="s">
        <v>165</v>
      </c>
      <c r="D15" s="5" t="s">
        <v>166</v>
      </c>
      <c r="E15" s="6"/>
      <c r="F15" s="6" t="s">
        <v>126</v>
      </c>
      <c r="G15" s="14"/>
      <c r="H15" s="6"/>
    </row>
    <row r="16" customFormat="false" ht="15" hidden="false" customHeight="false" outlineLevel="0" collapsed="false">
      <c r="A16" s="5" t="s">
        <v>167</v>
      </c>
      <c r="B16" s="5" t="s">
        <v>168</v>
      </c>
      <c r="C16" s="5" t="s">
        <v>169</v>
      </c>
      <c r="D16" s="5" t="s">
        <v>170</v>
      </c>
      <c r="E16" s="6"/>
      <c r="F16" s="6" t="s">
        <v>126</v>
      </c>
      <c r="G16" s="14"/>
      <c r="H16" s="6"/>
    </row>
    <row r="18" customFormat="false" ht="15" hidden="false" customHeight="false" outlineLevel="0" collapsed="false">
      <c r="A18" s="2" t="s">
        <v>171</v>
      </c>
    </row>
  </sheetData>
  <dataValidations count="1">
    <dataValidation allowBlank="true" errorStyle="stop" operator="between" showDropDown="false" showErrorMessage="false" showInputMessage="false" sqref="F5:F16" type="list">
      <formula1>"Not started,In progress,Done,Not needed"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4"/>
    <col collapsed="false" customWidth="true" hidden="false" outlineLevel="0" max="4" min="4" style="0" width="14"/>
    <col collapsed="false" customWidth="true" hidden="false" outlineLevel="0" max="5" min="5" style="0" width="22"/>
    <col collapsed="false" customWidth="true" hidden="false" outlineLevel="0" max="6" min="6" style="0" width="60"/>
    <col collapsed="false" customWidth="true" hidden="false" outlineLevel="0" max="7" min="7" style="0" width="20"/>
    <col collapsed="false" customWidth="true" hidden="false" outlineLevel="0" max="8" min="8" style="0" width="16"/>
    <col collapsed="false" customWidth="true" hidden="false" outlineLevel="0" max="9" min="9" style="0" width="26"/>
  </cols>
  <sheetData>
    <row r="1" customFormat="false" ht="17.35" hidden="false" customHeight="false" outlineLevel="0" collapsed="false">
      <c r="A1" s="1" t="s">
        <v>172</v>
      </c>
    </row>
    <row r="2" customFormat="false" ht="15" hidden="false" customHeight="false" outlineLevel="0" collapsed="false">
      <c r="A2" s="2" t="s">
        <v>173</v>
      </c>
    </row>
    <row r="4" customFormat="false" ht="15" hidden="false" customHeight="false" outlineLevel="0" collapsed="false">
      <c r="A4" s="3" t="s">
        <v>174</v>
      </c>
      <c r="B4" s="3" t="s">
        <v>25</v>
      </c>
      <c r="C4" s="3" t="s">
        <v>175</v>
      </c>
      <c r="D4" s="3" t="s">
        <v>176</v>
      </c>
      <c r="E4" s="3" t="s">
        <v>177</v>
      </c>
      <c r="F4" s="3" t="s">
        <v>178</v>
      </c>
      <c r="G4" s="3" t="s">
        <v>179</v>
      </c>
      <c r="H4" s="3" t="s">
        <v>180</v>
      </c>
      <c r="I4" s="3" t="s">
        <v>121</v>
      </c>
    </row>
    <row r="5" customFormat="false" ht="23.85" hidden="false" customHeight="false" outlineLevel="0" collapsed="false">
      <c r="A5" s="6" t="s">
        <v>181</v>
      </c>
      <c r="B5" s="6" t="s">
        <v>182</v>
      </c>
      <c r="C5" s="6" t="s">
        <v>183</v>
      </c>
      <c r="D5" s="6" t="s">
        <v>184</v>
      </c>
      <c r="E5" s="6" t="s">
        <v>185</v>
      </c>
      <c r="F5" s="6" t="s">
        <v>186</v>
      </c>
      <c r="G5" s="6" t="s">
        <v>187</v>
      </c>
      <c r="H5" s="6" t="s">
        <v>188</v>
      </c>
      <c r="I5" s="6" t="s">
        <v>189</v>
      </c>
    </row>
    <row r="6" customFormat="false" ht="15" hidden="false" customHeight="false" outlineLevel="0" collapsed="false">
      <c r="A6" s="6"/>
      <c r="B6" s="6"/>
      <c r="C6" s="6"/>
      <c r="D6" s="6"/>
      <c r="E6" s="6"/>
      <c r="F6" s="6"/>
      <c r="G6" s="6"/>
      <c r="H6" s="6"/>
      <c r="I6" s="6"/>
    </row>
    <row r="7" customFormat="false" ht="15" hidden="false" customHeight="false" outlineLevel="0" collapsed="false">
      <c r="A7" s="6"/>
      <c r="B7" s="6"/>
      <c r="C7" s="6"/>
      <c r="D7" s="6"/>
      <c r="E7" s="6"/>
      <c r="F7" s="6"/>
      <c r="G7" s="6"/>
      <c r="H7" s="6"/>
      <c r="I7" s="6"/>
    </row>
    <row r="8" customFormat="false" ht="15" hidden="false" customHeight="false" outlineLevel="0" collapsed="false">
      <c r="A8" s="6"/>
      <c r="B8" s="6"/>
      <c r="C8" s="6"/>
      <c r="D8" s="6"/>
      <c r="E8" s="6"/>
      <c r="F8" s="6"/>
      <c r="G8" s="6"/>
      <c r="H8" s="6"/>
      <c r="I8" s="6"/>
    </row>
    <row r="9" customFormat="false" ht="15" hidden="false" customHeight="false" outlineLevel="0" collapsed="false">
      <c r="A9" s="6"/>
      <c r="B9" s="6"/>
      <c r="C9" s="6"/>
      <c r="D9" s="6"/>
      <c r="E9" s="6"/>
      <c r="F9" s="6"/>
      <c r="G9" s="6"/>
      <c r="H9" s="6"/>
      <c r="I9" s="6"/>
    </row>
    <row r="10" customFormat="false" ht="15" hidden="false" customHeight="false" outlineLevel="0" collapsed="false">
      <c r="A10" s="6"/>
      <c r="B10" s="6"/>
      <c r="C10" s="6"/>
      <c r="D10" s="6"/>
      <c r="E10" s="6"/>
      <c r="F10" s="6"/>
      <c r="G10" s="6"/>
      <c r="H10" s="6"/>
      <c r="I10" s="6"/>
    </row>
    <row r="11" customFormat="false" ht="15" hidden="false" customHeight="false" outlineLevel="0" collapsed="false">
      <c r="A11" s="6"/>
      <c r="B11" s="6"/>
      <c r="C11" s="6"/>
      <c r="D11" s="6"/>
      <c r="E11" s="6"/>
      <c r="F11" s="6"/>
      <c r="G11" s="6"/>
      <c r="H11" s="6"/>
      <c r="I11" s="6"/>
    </row>
    <row r="12" customFormat="false" ht="15" hidden="false" customHeight="false" outlineLevel="0" collapsed="false">
      <c r="A12" s="6"/>
      <c r="B12" s="6"/>
      <c r="C12" s="6"/>
      <c r="D12" s="6"/>
      <c r="E12" s="6"/>
      <c r="F12" s="6"/>
      <c r="G12" s="6"/>
      <c r="H12" s="6"/>
      <c r="I12" s="6"/>
    </row>
    <row r="13" customFormat="false" ht="15" hidden="false" customHeight="false" outlineLevel="0" collapsed="false">
      <c r="A13" s="6"/>
      <c r="B13" s="6"/>
      <c r="C13" s="6"/>
      <c r="D13" s="6"/>
      <c r="E13" s="6"/>
      <c r="F13" s="6"/>
      <c r="G13" s="6"/>
      <c r="H13" s="6"/>
      <c r="I13" s="6"/>
    </row>
    <row r="14" customFormat="false" ht="15" hidden="false" customHeight="false" outlineLevel="0" collapsed="false">
      <c r="A14" s="6"/>
      <c r="B14" s="6"/>
      <c r="C14" s="6"/>
      <c r="D14" s="6"/>
      <c r="E14" s="6"/>
      <c r="F14" s="6"/>
      <c r="G14" s="6"/>
      <c r="H14" s="6"/>
      <c r="I14" s="6"/>
    </row>
    <row r="15" customFormat="false" ht="15" hidden="false" customHeight="false" outlineLevel="0" collapsed="false">
      <c r="A15" s="6"/>
      <c r="B15" s="6"/>
      <c r="C15" s="6"/>
      <c r="D15" s="6"/>
      <c r="E15" s="6"/>
      <c r="F15" s="6"/>
      <c r="G15" s="6"/>
      <c r="H15" s="6"/>
      <c r="I15" s="6"/>
    </row>
  </sheetData>
  <dataValidations count="2">
    <dataValidation allowBlank="true" errorStyle="stop" operator="between" showDropDown="false" showErrorMessage="false" showInputMessage="false" sqref="D5:D15" type="list">
      <formula1>"Low,Medium,High"</formula1>
      <formula2>0</formula2>
    </dataValidation>
    <dataValidation allowBlank="true" errorStyle="stop" operator="between" showDropDown="false" showErrorMessage="false" showInputMessage="false" sqref="E5:E15" type="list">
      <formula1>"Approve,Approve with conditions,Do not approve,Escalate to review board"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0"/>
    <col collapsed="false" customWidth="true" hidden="false" outlineLevel="0" max="4" min="4" style="0" width="90"/>
    <col collapsed="false" customWidth="true" hidden="false" outlineLevel="0" max="5" min="5" style="0" width="36"/>
  </cols>
  <sheetData>
    <row r="1" customFormat="false" ht="17.35" hidden="false" customHeight="false" outlineLevel="0" collapsed="false">
      <c r="A1" s="1" t="s">
        <v>190</v>
      </c>
    </row>
    <row r="2" customFormat="false" ht="15" hidden="false" customHeight="false" outlineLevel="0" collapsed="false">
      <c r="A2" s="2" t="s">
        <v>191</v>
      </c>
    </row>
    <row r="4" customFormat="false" ht="15" hidden="false" customHeight="false" outlineLevel="0" collapsed="false">
      <c r="A4" s="3" t="s">
        <v>58</v>
      </c>
      <c r="B4" s="3" t="s">
        <v>192</v>
      </c>
      <c r="C4" s="3" t="s">
        <v>193</v>
      </c>
      <c r="D4" s="3" t="s">
        <v>194</v>
      </c>
      <c r="E4" s="3" t="s">
        <v>195</v>
      </c>
    </row>
    <row r="5" customFormat="false" ht="35.05" hidden="false" customHeight="false" outlineLevel="0" collapsed="false">
      <c r="A5" s="5" t="n">
        <v>1</v>
      </c>
      <c r="B5" s="9" t="s">
        <v>196</v>
      </c>
      <c r="C5" s="5" t="s">
        <v>197</v>
      </c>
      <c r="D5" s="6" t="s">
        <v>198</v>
      </c>
      <c r="E5" s="5" t="s">
        <v>199</v>
      </c>
    </row>
    <row r="6" customFormat="false" ht="23.85" hidden="false" customHeight="false" outlineLevel="0" collapsed="false">
      <c r="A6" s="5" t="n">
        <v>2</v>
      </c>
      <c r="B6" s="9" t="s">
        <v>200</v>
      </c>
      <c r="C6" s="5" t="s">
        <v>201</v>
      </c>
      <c r="D6" s="6" t="s">
        <v>202</v>
      </c>
      <c r="E6" s="5" t="s">
        <v>199</v>
      </c>
    </row>
    <row r="7" customFormat="false" ht="23.85" hidden="false" customHeight="false" outlineLevel="0" collapsed="false">
      <c r="A7" s="5" t="n">
        <v>3</v>
      </c>
      <c r="B7" s="9" t="s">
        <v>203</v>
      </c>
      <c r="C7" s="5" t="s">
        <v>204</v>
      </c>
      <c r="D7" s="6" t="s">
        <v>205</v>
      </c>
      <c r="E7" s="5" t="s">
        <v>199</v>
      </c>
    </row>
    <row r="8" customFormat="false" ht="23.85" hidden="false" customHeight="false" outlineLevel="0" collapsed="false">
      <c r="A8" s="5" t="n">
        <v>4</v>
      </c>
      <c r="B8" s="9" t="s">
        <v>206</v>
      </c>
      <c r="C8" s="5" t="s">
        <v>207</v>
      </c>
      <c r="D8" s="6" t="s">
        <v>208</v>
      </c>
      <c r="E8" s="5" t="s">
        <v>199</v>
      </c>
    </row>
    <row r="9" customFormat="false" ht="23.85" hidden="false" customHeight="false" outlineLevel="0" collapsed="false">
      <c r="A9" s="5" t="n">
        <v>5</v>
      </c>
      <c r="B9" s="9" t="s">
        <v>209</v>
      </c>
      <c r="C9" s="5" t="s">
        <v>210</v>
      </c>
      <c r="D9" s="6" t="s">
        <v>211</v>
      </c>
      <c r="E9" s="5" t="s">
        <v>199</v>
      </c>
    </row>
    <row r="10" customFormat="false" ht="23.85" hidden="false" customHeight="false" outlineLevel="0" collapsed="false">
      <c r="A10" s="5" t="n">
        <v>6</v>
      </c>
      <c r="B10" s="9" t="s">
        <v>212</v>
      </c>
      <c r="C10" s="5" t="s">
        <v>213</v>
      </c>
      <c r="D10" s="6" t="s">
        <v>214</v>
      </c>
      <c r="E10" s="5" t="s">
        <v>199</v>
      </c>
    </row>
    <row r="11" customFormat="false" ht="23.85" hidden="false" customHeight="false" outlineLevel="0" collapsed="false">
      <c r="A11" s="5" t="n">
        <v>7</v>
      </c>
      <c r="B11" s="9" t="s">
        <v>215</v>
      </c>
      <c r="C11" s="5" t="s">
        <v>216</v>
      </c>
      <c r="D11" s="6" t="s">
        <v>217</v>
      </c>
      <c r="E11" s="5" t="s">
        <v>199</v>
      </c>
    </row>
    <row r="12" customFormat="false" ht="23.85" hidden="false" customHeight="false" outlineLevel="0" collapsed="false">
      <c r="A12" s="5" t="n">
        <v>8</v>
      </c>
      <c r="B12" s="9" t="s">
        <v>218</v>
      </c>
      <c r="C12" s="5" t="s">
        <v>219</v>
      </c>
      <c r="D12" s="6" t="s">
        <v>220</v>
      </c>
      <c r="E12" s="5"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70"/>
    <col collapsed="false" customWidth="true" hidden="false" outlineLevel="0" max="4" min="4" style="0" width="11"/>
    <col collapsed="false" customWidth="true" hidden="false" outlineLevel="0" max="5" min="5" style="0" width="16"/>
    <col collapsed="false" customWidth="true" hidden="false" outlineLevel="0" max="6" min="6" style="0" width="12"/>
    <col collapsed="false" customWidth="true" hidden="false" outlineLevel="0" max="7" min="7" style="0" width="50"/>
    <col collapsed="false" customWidth="true" hidden="false" outlineLevel="0" max="9" min="8" style="0" width="11"/>
  </cols>
  <sheetData>
    <row r="1" customFormat="false" ht="17.35" hidden="false" customHeight="false" outlineLevel="0" collapsed="false">
      <c r="A1" s="1" t="s">
        <v>221</v>
      </c>
    </row>
    <row r="2" customFormat="false" ht="15" hidden="false" customHeight="false" outlineLevel="0" collapsed="false">
      <c r="A2" s="2" t="s">
        <v>222</v>
      </c>
    </row>
    <row r="4" customFormat="false" ht="15" hidden="false" customHeight="false" outlineLevel="0" collapsed="false">
      <c r="A4" s="3" t="s">
        <v>22</v>
      </c>
      <c r="B4" s="3" t="s">
        <v>223</v>
      </c>
    </row>
    <row r="5" customFormat="false" ht="15" hidden="false" customHeight="true" outlineLevel="0" collapsed="false">
      <c r="A5" s="4" t="s">
        <v>175</v>
      </c>
      <c r="B5" s="5" t="s">
        <v>224</v>
      </c>
      <c r="C5" s="5"/>
      <c r="D5" s="5"/>
      <c r="E5" s="5"/>
      <c r="F5" s="5"/>
      <c r="G5" s="5"/>
    </row>
    <row r="6" customFormat="false" ht="15" hidden="false" customHeight="true" outlineLevel="0" collapsed="false">
      <c r="A6" s="4" t="s">
        <v>225</v>
      </c>
      <c r="B6" s="5" t="s">
        <v>226</v>
      </c>
      <c r="C6" s="5"/>
      <c r="D6" s="5"/>
      <c r="E6" s="5"/>
      <c r="F6" s="5"/>
      <c r="G6" s="5"/>
    </row>
    <row r="7" customFormat="false" ht="15" hidden="false" customHeight="true" outlineLevel="0" collapsed="false">
      <c r="A7" s="4" t="s">
        <v>227</v>
      </c>
      <c r="B7" s="5" t="s">
        <v>228</v>
      </c>
      <c r="C7" s="5"/>
      <c r="D7" s="5"/>
      <c r="E7" s="5"/>
      <c r="F7" s="5"/>
      <c r="G7" s="5"/>
    </row>
    <row r="8" customFormat="false" ht="15" hidden="false" customHeight="true" outlineLevel="0" collapsed="false">
      <c r="A8" s="4" t="s">
        <v>229</v>
      </c>
      <c r="B8" s="5" t="s">
        <v>230</v>
      </c>
      <c r="C8" s="5"/>
      <c r="D8" s="5"/>
      <c r="E8" s="5"/>
      <c r="F8" s="5"/>
      <c r="G8" s="5"/>
    </row>
    <row r="9" customFormat="false" ht="15" hidden="false" customHeight="true" outlineLevel="0" collapsed="false">
      <c r="A9" s="4" t="s">
        <v>231</v>
      </c>
      <c r="B9" s="5" t="s">
        <v>232</v>
      </c>
      <c r="C9" s="5"/>
      <c r="D9" s="5"/>
      <c r="E9" s="5"/>
      <c r="F9" s="5"/>
      <c r="G9" s="5"/>
    </row>
    <row r="10" customFormat="false" ht="15" hidden="false" customHeight="true" outlineLevel="0" collapsed="false">
      <c r="A10" s="4" t="s">
        <v>233</v>
      </c>
      <c r="B10" s="5" t="s">
        <v>234</v>
      </c>
      <c r="C10" s="5"/>
      <c r="D10" s="5"/>
      <c r="E10" s="5"/>
      <c r="F10" s="5"/>
      <c r="G10" s="5"/>
    </row>
    <row r="12" customFormat="false" ht="15" hidden="false" customHeight="false" outlineLevel="0" collapsed="false">
      <c r="A12" s="3" t="s">
        <v>235</v>
      </c>
      <c r="B12" s="3" t="s">
        <v>236</v>
      </c>
    </row>
    <row r="13" customFormat="false" ht="15" hidden="false" customHeight="false" outlineLevel="0" collapsed="false">
      <c r="A13" s="4" t="s">
        <v>65</v>
      </c>
      <c r="B13" s="9" t="n">
        <f aca="false">SUM(H22:H45)</f>
        <v>25</v>
      </c>
    </row>
    <row r="14" customFormat="false" ht="15" hidden="false" customHeight="false" outlineLevel="0" collapsed="false">
      <c r="A14" s="4" t="s">
        <v>66</v>
      </c>
      <c r="B14" s="9" t="n">
        <f aca="false">SUM(I22:I45)</f>
        <v>94</v>
      </c>
    </row>
    <row r="15" customFormat="false" ht="15" hidden="false" customHeight="false" outlineLevel="0" collapsed="false">
      <c r="A15" s="4" t="s">
        <v>105</v>
      </c>
      <c r="B15" s="15" t="n">
        <f aca="false">IF(B14=0,"",B13/B14)</f>
        <v>0.265957446808511</v>
      </c>
    </row>
    <row r="16" customFormat="false" ht="15" hidden="false" customHeight="false" outlineLevel="0" collapsed="false">
      <c r="A16" s="4" t="s">
        <v>106</v>
      </c>
      <c r="B16" s="9" t="str">
        <f aca="false">IF(B14=0,"Not assessed",IF(B13/B14&lt;=3_Scoring!$C$4,"Low",IF(B13/B14&lt;=3_Scoring!$C$5,"Medium","High")))</f>
        <v>Medium</v>
      </c>
    </row>
    <row r="17" customFormat="false" ht="15" hidden="false" customHeight="false" outlineLevel="0" collapsed="false">
      <c r="A17" s="4" t="s">
        <v>237</v>
      </c>
      <c r="B17" s="9" t="n">
        <f aca="false">COUNTIFS(E22:E45,"Yes",F22:F45,"No")</f>
        <v>0</v>
      </c>
    </row>
    <row r="18" customFormat="false" ht="15" hidden="false" customHeight="false" outlineLevel="0" collapsed="false">
      <c r="A18" s="4" t="s">
        <v>110</v>
      </c>
      <c r="B18" s="9" t="str">
        <f aca="false">IF(B14=0,"Answer the questions first",IF(B17&gt;0,"Escalate to review board",IF(B16="Low","Approve",IF(B16="Medium","Approve with conditions","Do not approve yet"))))</f>
        <v>Approve with conditions</v>
      </c>
    </row>
    <row r="20" customFormat="false" ht="31.5" hidden="false" customHeight="true" outlineLevel="0" collapsed="false">
      <c r="A20" s="13" t="s">
        <v>238</v>
      </c>
      <c r="B20" s="13"/>
      <c r="C20" s="13"/>
      <c r="D20" s="13"/>
      <c r="E20" s="13"/>
      <c r="F20" s="13"/>
      <c r="G20" s="13"/>
    </row>
    <row r="21" customFormat="false" ht="23.85" hidden="false" customHeight="false" outlineLevel="0" collapsed="false">
      <c r="A21" s="3" t="s">
        <v>58</v>
      </c>
      <c r="B21" s="3" t="s">
        <v>59</v>
      </c>
      <c r="C21" s="3" t="s">
        <v>60</v>
      </c>
      <c r="D21" s="3" t="s">
        <v>61</v>
      </c>
      <c r="E21" s="3" t="s">
        <v>62</v>
      </c>
      <c r="F21" s="3" t="s">
        <v>63</v>
      </c>
      <c r="G21" s="3" t="s">
        <v>64</v>
      </c>
      <c r="H21" s="3" t="s">
        <v>65</v>
      </c>
      <c r="I21" s="3" t="s">
        <v>66</v>
      </c>
    </row>
    <row r="22" customFormat="false" ht="15" hidden="false" customHeight="false" outlineLevel="0" collapsed="false">
      <c r="A22" s="5" t="n">
        <v>1</v>
      </c>
      <c r="B22" s="5" t="s">
        <v>67</v>
      </c>
      <c r="C22" s="5" t="s">
        <v>68</v>
      </c>
      <c r="D22" s="5" t="n">
        <v>2</v>
      </c>
      <c r="E22" s="5" t="s">
        <v>69</v>
      </c>
      <c r="F22" s="6" t="s">
        <v>75</v>
      </c>
      <c r="G22" s="6"/>
      <c r="H22" s="5" t="n">
        <f aca="false">IF(F22="","",D22*IF(F22="Yes",0,IF(F22="Partly",1,IF(F22="No",2,0))))</f>
        <v>0</v>
      </c>
      <c r="I22" s="5" t="n">
        <f aca="false">IF(OR(F22="",F22="N/A"),0,D22*2)</f>
        <v>4</v>
      </c>
    </row>
    <row r="23" customFormat="false" ht="15" hidden="false" customHeight="false" outlineLevel="0" collapsed="false">
      <c r="A23" s="5" t="n">
        <v>2</v>
      </c>
      <c r="B23" s="5" t="s">
        <v>67</v>
      </c>
      <c r="C23" s="5" t="s">
        <v>70</v>
      </c>
      <c r="D23" s="5" t="n">
        <v>1</v>
      </c>
      <c r="E23" s="5" t="s">
        <v>69</v>
      </c>
      <c r="F23" s="6" t="s">
        <v>75</v>
      </c>
      <c r="G23" s="6"/>
      <c r="H23" s="5" t="n">
        <f aca="false">IF(F23="","",D23*IF(F23="Yes",0,IF(F23="Partly",1,IF(F23="No",2,0))))</f>
        <v>0</v>
      </c>
      <c r="I23" s="5" t="n">
        <f aca="false">IF(OR(F23="",F23="N/A"),0,D23*2)</f>
        <v>2</v>
      </c>
    </row>
    <row r="24" customFormat="false" ht="23.85" hidden="false" customHeight="false" outlineLevel="0" collapsed="false">
      <c r="A24" s="5" t="n">
        <v>3</v>
      </c>
      <c r="B24" s="5" t="s">
        <v>67</v>
      </c>
      <c r="C24" s="5" t="s">
        <v>71</v>
      </c>
      <c r="D24" s="5" t="n">
        <v>1</v>
      </c>
      <c r="E24" s="5" t="s">
        <v>69</v>
      </c>
      <c r="F24" s="6" t="s">
        <v>239</v>
      </c>
      <c r="G24" s="6" t="s">
        <v>240</v>
      </c>
      <c r="H24" s="5" t="n">
        <f aca="false">IF(F24="","",D24*IF(F24="Yes",0,IF(F24="Partly",1,IF(F24="No",2,0))))</f>
        <v>1</v>
      </c>
      <c r="I24" s="5" t="n">
        <f aca="false">IF(OR(F24="",F24="N/A"),0,D24*2)</f>
        <v>2</v>
      </c>
    </row>
    <row r="25" customFormat="false" ht="15" hidden="false" customHeight="false" outlineLevel="0" collapsed="false">
      <c r="A25" s="5" t="n">
        <v>4</v>
      </c>
      <c r="B25" s="5" t="s">
        <v>67</v>
      </c>
      <c r="C25" s="5" t="s">
        <v>72</v>
      </c>
      <c r="D25" s="5" t="n">
        <v>1</v>
      </c>
      <c r="E25" s="5" t="s">
        <v>69</v>
      </c>
      <c r="F25" s="6" t="s">
        <v>75</v>
      </c>
      <c r="G25" s="6"/>
      <c r="H25" s="5" t="n">
        <f aca="false">IF(F25="","",D25*IF(F25="Yes",0,IF(F25="Partly",1,IF(F25="No",2,0))))</f>
        <v>0</v>
      </c>
      <c r="I25" s="5" t="n">
        <f aca="false">IF(OR(F25="",F25="N/A"),0,D25*2)</f>
        <v>2</v>
      </c>
    </row>
    <row r="26" customFormat="false" ht="15" hidden="false" customHeight="false" outlineLevel="0" collapsed="false">
      <c r="A26" s="5" t="n">
        <v>5</v>
      </c>
      <c r="B26" s="5" t="s">
        <v>73</v>
      </c>
      <c r="C26" s="5" t="s">
        <v>74</v>
      </c>
      <c r="D26" s="5" t="n">
        <v>3</v>
      </c>
      <c r="E26" s="5" t="s">
        <v>75</v>
      </c>
      <c r="F26" s="6" t="s">
        <v>75</v>
      </c>
      <c r="G26" s="6"/>
      <c r="H26" s="5" t="n">
        <f aca="false">IF(F26="","",D26*IF(F26="Yes",0,IF(F26="Partly",1,IF(F26="No",2,0))))</f>
        <v>0</v>
      </c>
      <c r="I26" s="5" t="n">
        <f aca="false">IF(OR(F26="",F26="N/A"),0,D26*2)</f>
        <v>6</v>
      </c>
    </row>
    <row r="27" customFormat="false" ht="23.85" hidden="false" customHeight="false" outlineLevel="0" collapsed="false">
      <c r="A27" s="5" t="n">
        <v>6</v>
      </c>
      <c r="B27" s="5" t="s">
        <v>73</v>
      </c>
      <c r="C27" s="5" t="s">
        <v>76</v>
      </c>
      <c r="D27" s="5" t="n">
        <v>3</v>
      </c>
      <c r="E27" s="5" t="s">
        <v>75</v>
      </c>
      <c r="F27" s="6" t="s">
        <v>75</v>
      </c>
      <c r="G27" s="6"/>
      <c r="H27" s="5" t="n">
        <f aca="false">IF(F27="","",D27*IF(F27="Yes",0,IF(F27="Partly",1,IF(F27="No",2,0))))</f>
        <v>0</v>
      </c>
      <c r="I27" s="5" t="n">
        <f aca="false">IF(OR(F27="",F27="N/A"),0,D27*2)</f>
        <v>6</v>
      </c>
    </row>
    <row r="28" customFormat="false" ht="23.85" hidden="false" customHeight="false" outlineLevel="0" collapsed="false">
      <c r="A28" s="5" t="n">
        <v>7</v>
      </c>
      <c r="B28" s="5" t="s">
        <v>73</v>
      </c>
      <c r="C28" s="5" t="s">
        <v>77</v>
      </c>
      <c r="D28" s="5" t="n">
        <v>3</v>
      </c>
      <c r="E28" s="5" t="s">
        <v>75</v>
      </c>
      <c r="F28" s="6" t="s">
        <v>239</v>
      </c>
      <c r="G28" s="6" t="s">
        <v>241</v>
      </c>
      <c r="H28" s="5" t="n">
        <f aca="false">IF(F28="","",D28*IF(F28="Yes",0,IF(F28="Partly",1,IF(F28="No",2,0))))</f>
        <v>3</v>
      </c>
      <c r="I28" s="5" t="n">
        <f aca="false">IF(OR(F28="",F28="N/A"),0,D28*2)</f>
        <v>6</v>
      </c>
    </row>
    <row r="29" customFormat="false" ht="15" hidden="false" customHeight="false" outlineLevel="0" collapsed="false">
      <c r="A29" s="5" t="n">
        <v>8</v>
      </c>
      <c r="B29" s="5" t="s">
        <v>73</v>
      </c>
      <c r="C29" s="5" t="s">
        <v>78</v>
      </c>
      <c r="D29" s="5" t="n">
        <v>2</v>
      </c>
      <c r="E29" s="5" t="s">
        <v>69</v>
      </c>
      <c r="F29" s="6" t="s">
        <v>75</v>
      </c>
      <c r="G29" s="6"/>
      <c r="H29" s="5" t="n">
        <f aca="false">IF(F29="","",D29*IF(F29="Yes",0,IF(F29="Partly",1,IF(F29="No",2,0))))</f>
        <v>0</v>
      </c>
      <c r="I29" s="5" t="n">
        <f aca="false">IF(OR(F29="",F29="N/A"),0,D29*2)</f>
        <v>4</v>
      </c>
    </row>
    <row r="30" customFormat="false" ht="23.85" hidden="false" customHeight="false" outlineLevel="0" collapsed="false">
      <c r="A30" s="5" t="n">
        <v>9</v>
      </c>
      <c r="B30" s="5" t="s">
        <v>79</v>
      </c>
      <c r="C30" s="5" t="s">
        <v>80</v>
      </c>
      <c r="D30" s="5" t="n">
        <v>3</v>
      </c>
      <c r="E30" s="5" t="s">
        <v>69</v>
      </c>
      <c r="F30" s="6" t="s">
        <v>239</v>
      </c>
      <c r="G30" s="6" t="s">
        <v>242</v>
      </c>
      <c r="H30" s="5" t="n">
        <f aca="false">IF(F30="","",D30*IF(F30="Yes",0,IF(F30="Partly",1,IF(F30="No",2,0))))</f>
        <v>3</v>
      </c>
      <c r="I30" s="5" t="n">
        <f aca="false">IF(OR(F30="",F30="N/A"),0,D30*2)</f>
        <v>6</v>
      </c>
    </row>
    <row r="31" customFormat="false" ht="23.85" hidden="false" customHeight="false" outlineLevel="0" collapsed="false">
      <c r="A31" s="5" t="n">
        <v>10</v>
      </c>
      <c r="B31" s="5" t="s">
        <v>79</v>
      </c>
      <c r="C31" s="5" t="s">
        <v>81</v>
      </c>
      <c r="D31" s="5" t="n">
        <v>2</v>
      </c>
      <c r="E31" s="5" t="s">
        <v>69</v>
      </c>
      <c r="F31" s="6" t="s">
        <v>239</v>
      </c>
      <c r="G31" s="6" t="s">
        <v>243</v>
      </c>
      <c r="H31" s="5" t="n">
        <f aca="false">IF(F31="","",D31*IF(F31="Yes",0,IF(F31="Partly",1,IF(F31="No",2,0))))</f>
        <v>2</v>
      </c>
      <c r="I31" s="5" t="n">
        <f aca="false">IF(OR(F31="",F31="N/A"),0,D31*2)</f>
        <v>4</v>
      </c>
    </row>
    <row r="32" customFormat="false" ht="23.85" hidden="false" customHeight="false" outlineLevel="0" collapsed="false">
      <c r="A32" s="5" t="n">
        <v>11</v>
      </c>
      <c r="B32" s="5" t="s">
        <v>79</v>
      </c>
      <c r="C32" s="5" t="s">
        <v>82</v>
      </c>
      <c r="D32" s="5" t="n">
        <v>2</v>
      </c>
      <c r="E32" s="5" t="s">
        <v>69</v>
      </c>
      <c r="F32" s="6" t="s">
        <v>69</v>
      </c>
      <c r="G32" s="6" t="s">
        <v>244</v>
      </c>
      <c r="H32" s="5" t="n">
        <f aca="false">IF(F32="","",D32*IF(F32="Yes",0,IF(F32="Partly",1,IF(F32="No",2,0))))</f>
        <v>4</v>
      </c>
      <c r="I32" s="5" t="n">
        <f aca="false">IF(OR(F32="",F32="N/A"),0,D32*2)</f>
        <v>4</v>
      </c>
    </row>
    <row r="33" customFormat="false" ht="23.85" hidden="false" customHeight="false" outlineLevel="0" collapsed="false">
      <c r="A33" s="5" t="n">
        <v>12</v>
      </c>
      <c r="B33" s="5" t="s">
        <v>79</v>
      </c>
      <c r="C33" s="5" t="s">
        <v>83</v>
      </c>
      <c r="D33" s="5" t="n">
        <v>2</v>
      </c>
      <c r="E33" s="5" t="s">
        <v>69</v>
      </c>
      <c r="F33" s="6" t="s">
        <v>239</v>
      </c>
      <c r="G33" s="6" t="s">
        <v>245</v>
      </c>
      <c r="H33" s="5" t="n">
        <f aca="false">IF(F33="","",D33*IF(F33="Yes",0,IF(F33="Partly",1,IF(F33="No",2,0))))</f>
        <v>2</v>
      </c>
      <c r="I33" s="5" t="n">
        <f aca="false">IF(OR(F33="",F33="N/A"),0,D33*2)</f>
        <v>4</v>
      </c>
    </row>
    <row r="34" customFormat="false" ht="15" hidden="false" customHeight="false" outlineLevel="0" collapsed="false">
      <c r="A34" s="5" t="n">
        <v>13</v>
      </c>
      <c r="B34" s="5" t="s">
        <v>84</v>
      </c>
      <c r="C34" s="5" t="s">
        <v>85</v>
      </c>
      <c r="D34" s="5" t="n">
        <v>2</v>
      </c>
      <c r="E34" s="5" t="s">
        <v>69</v>
      </c>
      <c r="F34" s="6" t="s">
        <v>75</v>
      </c>
      <c r="G34" s="6"/>
      <c r="H34" s="5" t="n">
        <f aca="false">IF(F34="","",D34*IF(F34="Yes",0,IF(F34="Partly",1,IF(F34="No",2,0))))</f>
        <v>0</v>
      </c>
      <c r="I34" s="5" t="n">
        <f aca="false">IF(OR(F34="",F34="N/A"),0,D34*2)</f>
        <v>4</v>
      </c>
    </row>
    <row r="35" customFormat="false" ht="23.85" hidden="false" customHeight="false" outlineLevel="0" collapsed="false">
      <c r="A35" s="5" t="n">
        <v>14</v>
      </c>
      <c r="B35" s="5" t="s">
        <v>84</v>
      </c>
      <c r="C35" s="5" t="s">
        <v>86</v>
      </c>
      <c r="D35" s="5" t="n">
        <v>3</v>
      </c>
      <c r="E35" s="5" t="s">
        <v>69</v>
      </c>
      <c r="F35" s="6" t="s">
        <v>239</v>
      </c>
      <c r="G35" s="6" t="s">
        <v>246</v>
      </c>
      <c r="H35" s="5" t="n">
        <f aca="false">IF(F35="","",D35*IF(F35="Yes",0,IF(F35="Partly",1,IF(F35="No",2,0))))</f>
        <v>3</v>
      </c>
      <c r="I35" s="5" t="n">
        <f aca="false">IF(OR(F35="",F35="N/A"),0,D35*2)</f>
        <v>6</v>
      </c>
    </row>
    <row r="36" customFormat="false" ht="15" hidden="false" customHeight="false" outlineLevel="0" collapsed="false">
      <c r="A36" s="5" t="n">
        <v>15</v>
      </c>
      <c r="B36" s="5" t="s">
        <v>84</v>
      </c>
      <c r="C36" s="5" t="s">
        <v>87</v>
      </c>
      <c r="D36" s="5" t="n">
        <v>2</v>
      </c>
      <c r="E36" s="5" t="s">
        <v>69</v>
      </c>
      <c r="F36" s="6" t="s">
        <v>75</v>
      </c>
      <c r="G36" s="6"/>
      <c r="H36" s="5" t="n">
        <f aca="false">IF(F36="","",D36*IF(F36="Yes",0,IF(F36="Partly",1,IF(F36="No",2,0))))</f>
        <v>0</v>
      </c>
      <c r="I36" s="5" t="n">
        <f aca="false">IF(OR(F36="",F36="N/A"),0,D36*2)</f>
        <v>4</v>
      </c>
    </row>
    <row r="37" customFormat="false" ht="23.85" hidden="false" customHeight="false" outlineLevel="0" collapsed="false">
      <c r="A37" s="5" t="n">
        <v>16</v>
      </c>
      <c r="B37" s="5" t="s">
        <v>84</v>
      </c>
      <c r="C37" s="5" t="s">
        <v>88</v>
      </c>
      <c r="D37" s="5" t="n">
        <v>3</v>
      </c>
      <c r="E37" s="5" t="s">
        <v>75</v>
      </c>
      <c r="F37" s="6" t="s">
        <v>247</v>
      </c>
      <c r="G37" s="6" t="s">
        <v>248</v>
      </c>
      <c r="H37" s="5" t="n">
        <f aca="false">IF(F37="","",D37*IF(F37="Yes",0,IF(F37="Partly",1,IF(F37="No",2,0))))</f>
        <v>0</v>
      </c>
      <c r="I37" s="5" t="n">
        <f aca="false">IF(OR(F37="",F37="N/A"),0,D37*2)</f>
        <v>0</v>
      </c>
    </row>
    <row r="38" customFormat="false" ht="23.85" hidden="false" customHeight="false" outlineLevel="0" collapsed="false">
      <c r="A38" s="5" t="n">
        <v>17</v>
      </c>
      <c r="B38" s="5" t="s">
        <v>89</v>
      </c>
      <c r="C38" s="5" t="s">
        <v>90</v>
      </c>
      <c r="D38" s="5" t="n">
        <v>3</v>
      </c>
      <c r="E38" s="5" t="s">
        <v>75</v>
      </c>
      <c r="F38" s="6" t="s">
        <v>239</v>
      </c>
      <c r="G38" s="6" t="s">
        <v>249</v>
      </c>
      <c r="H38" s="5" t="n">
        <f aca="false">IF(F38="","",D38*IF(F38="Yes",0,IF(F38="Partly",1,IF(F38="No",2,0))))</f>
        <v>3</v>
      </c>
      <c r="I38" s="5" t="n">
        <f aca="false">IF(OR(F38="",F38="N/A"),0,D38*2)</f>
        <v>6</v>
      </c>
    </row>
    <row r="39" customFormat="false" ht="15" hidden="false" customHeight="false" outlineLevel="0" collapsed="false">
      <c r="A39" s="5" t="n">
        <v>18</v>
      </c>
      <c r="B39" s="5" t="s">
        <v>89</v>
      </c>
      <c r="C39" s="5" t="s">
        <v>91</v>
      </c>
      <c r="D39" s="5" t="n">
        <v>2</v>
      </c>
      <c r="E39" s="5" t="s">
        <v>69</v>
      </c>
      <c r="F39" s="6" t="s">
        <v>75</v>
      </c>
      <c r="G39" s="6"/>
      <c r="H39" s="5" t="n">
        <f aca="false">IF(F39="","",D39*IF(F39="Yes",0,IF(F39="Partly",1,IF(F39="No",2,0))))</f>
        <v>0</v>
      </c>
      <c r="I39" s="5" t="n">
        <f aca="false">IF(OR(F39="",F39="N/A"),0,D39*2)</f>
        <v>4</v>
      </c>
    </row>
    <row r="40" customFormat="false" ht="15" hidden="false" customHeight="false" outlineLevel="0" collapsed="false">
      <c r="A40" s="5" t="n">
        <v>19</v>
      </c>
      <c r="B40" s="5" t="s">
        <v>89</v>
      </c>
      <c r="C40" s="5" t="s">
        <v>92</v>
      </c>
      <c r="D40" s="5" t="n">
        <v>1</v>
      </c>
      <c r="E40" s="5" t="s">
        <v>69</v>
      </c>
      <c r="F40" s="6" t="s">
        <v>239</v>
      </c>
      <c r="G40" s="6" t="s">
        <v>250</v>
      </c>
      <c r="H40" s="5" t="n">
        <f aca="false">IF(F40="","",D40*IF(F40="Yes",0,IF(F40="Partly",1,IF(F40="No",2,0))))</f>
        <v>1</v>
      </c>
      <c r="I40" s="5" t="n">
        <f aca="false">IF(OR(F40="",F40="N/A"),0,D40*2)</f>
        <v>2</v>
      </c>
    </row>
    <row r="41" customFormat="false" ht="15" hidden="false" customHeight="false" outlineLevel="0" collapsed="false">
      <c r="A41" s="5" t="n">
        <v>20</v>
      </c>
      <c r="B41" s="5" t="s">
        <v>89</v>
      </c>
      <c r="C41" s="5" t="s">
        <v>93</v>
      </c>
      <c r="D41" s="5" t="n">
        <v>2</v>
      </c>
      <c r="E41" s="5" t="s">
        <v>69</v>
      </c>
      <c r="F41" s="6" t="s">
        <v>239</v>
      </c>
      <c r="G41" s="6" t="s">
        <v>251</v>
      </c>
      <c r="H41" s="5" t="n">
        <f aca="false">IF(F41="","",D41*IF(F41="Yes",0,IF(F41="Partly",1,IF(F41="No",2,0))))</f>
        <v>2</v>
      </c>
      <c r="I41" s="5" t="n">
        <f aca="false">IF(OR(F41="",F41="N/A"),0,D41*2)</f>
        <v>4</v>
      </c>
    </row>
    <row r="42" customFormat="false" ht="23.85" hidden="false" customHeight="false" outlineLevel="0" collapsed="false">
      <c r="A42" s="5" t="n">
        <v>21</v>
      </c>
      <c r="B42" s="5" t="s">
        <v>94</v>
      </c>
      <c r="C42" s="5" t="s">
        <v>95</v>
      </c>
      <c r="D42" s="5" t="n">
        <v>3</v>
      </c>
      <c r="E42" s="5" t="s">
        <v>69</v>
      </c>
      <c r="F42" s="6" t="s">
        <v>75</v>
      </c>
      <c r="G42" s="6"/>
      <c r="H42" s="5" t="n">
        <f aca="false">IF(F42="","",D42*IF(F42="Yes",0,IF(F42="Partly",1,IF(F42="No",2,0))))</f>
        <v>0</v>
      </c>
      <c r="I42" s="5" t="n">
        <f aca="false">IF(OR(F42="",F42="N/A"),0,D42*2)</f>
        <v>6</v>
      </c>
    </row>
    <row r="43" customFormat="false" ht="23.85" hidden="false" customHeight="false" outlineLevel="0" collapsed="false">
      <c r="A43" s="5" t="n">
        <v>22</v>
      </c>
      <c r="B43" s="5" t="s">
        <v>94</v>
      </c>
      <c r="C43" s="5" t="s">
        <v>96</v>
      </c>
      <c r="D43" s="5" t="n">
        <v>1</v>
      </c>
      <c r="E43" s="5" t="s">
        <v>69</v>
      </c>
      <c r="F43" s="6" t="s">
        <v>239</v>
      </c>
      <c r="G43" s="6" t="s">
        <v>252</v>
      </c>
      <c r="H43" s="5" t="n">
        <f aca="false">IF(F43="","",D43*IF(F43="Yes",0,IF(F43="Partly",1,IF(F43="No",2,0))))</f>
        <v>1</v>
      </c>
      <c r="I43" s="5" t="n">
        <f aca="false">IF(OR(F43="",F43="N/A"),0,D43*2)</f>
        <v>2</v>
      </c>
    </row>
    <row r="44" customFormat="false" ht="23.85" hidden="false" customHeight="false" outlineLevel="0" collapsed="false">
      <c r="A44" s="5" t="n">
        <v>23</v>
      </c>
      <c r="B44" s="5" t="s">
        <v>94</v>
      </c>
      <c r="C44" s="5" t="s">
        <v>97</v>
      </c>
      <c r="D44" s="5" t="n">
        <v>2</v>
      </c>
      <c r="E44" s="5" t="s">
        <v>69</v>
      </c>
      <c r="F44" s="6" t="s">
        <v>75</v>
      </c>
      <c r="G44" s="6"/>
      <c r="H44" s="5" t="n">
        <f aca="false">IF(F44="","",D44*IF(F44="Yes",0,IF(F44="Partly",1,IF(F44="No",2,0))))</f>
        <v>0</v>
      </c>
      <c r="I44" s="5" t="n">
        <f aca="false">IF(OR(F44="",F44="N/A"),0,D44*2)</f>
        <v>4</v>
      </c>
    </row>
    <row r="45" customFormat="false" ht="15" hidden="false" customHeight="false" outlineLevel="0" collapsed="false">
      <c r="A45" s="5" t="n">
        <v>24</v>
      </c>
      <c r="B45" s="5" t="s">
        <v>94</v>
      </c>
      <c r="C45" s="5" t="s">
        <v>98</v>
      </c>
      <c r="D45" s="5" t="n">
        <v>1</v>
      </c>
      <c r="E45" s="5" t="s">
        <v>69</v>
      </c>
      <c r="F45" s="6" t="s">
        <v>75</v>
      </c>
      <c r="G45" s="6"/>
      <c r="H45" s="5" t="n">
        <f aca="false">IF(F45="","",D45*IF(F45="Yes",0,IF(F45="Partly",1,IF(F45="No",2,0))))</f>
        <v>0</v>
      </c>
      <c r="I45" s="5" t="n">
        <f aca="false">IF(OR(F45="",F45="N/A"),0,D45*2)</f>
        <v>2</v>
      </c>
    </row>
  </sheetData>
  <mergeCells count="7">
    <mergeCell ref="B5:G5"/>
    <mergeCell ref="B6:G6"/>
    <mergeCell ref="B7:G7"/>
    <mergeCell ref="B8:G8"/>
    <mergeCell ref="B9:G9"/>
    <mergeCell ref="B10:G10"/>
    <mergeCell ref="A20:G20"/>
  </mergeCells>
  <conditionalFormatting sqref="B16">
    <cfRule type="cellIs" priority="2" operator="equal" aboveAverage="0" equalAverage="0" bottom="0" percent="0" rank="0" text="" dxfId="0">
      <formula>"Low"</formula>
    </cfRule>
    <cfRule type="cellIs" priority="3" operator="equal" aboveAverage="0" equalAverage="0" bottom="0" percent="0" rank="0" text="" dxfId="1">
      <formula>"Medium"</formula>
    </cfRule>
    <cfRule type="cellIs" priority="4" operator="equal" aboveAverage="0" equalAverage="0" bottom="0" percent="0" rank="0" text="" dxfId="2">
      <formula>"High"</formula>
    </cfRule>
  </conditionalFormatting>
  <dataValidations count="1">
    <dataValidation allowBlank="true" errorStyle="stop" operator="between" showDropDown="false" showErrorMessage="false" showInputMessage="false" sqref="F22:F45" type="list">
      <formula1>"Yes,Partly,No,N/A"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2026-10-15T23:30:17Z</dcterms:created>
  <dc:creator>openpyxl</dc:creator>
  <dc:description/>
  <dc:language>en-US</dc:language>
  <cp:lastModifiedBy/>
  <dcterms:modified xsi:type="dcterms:W3CDTF">2026-10-15T23:30:17Z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